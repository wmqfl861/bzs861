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b6a371585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0d0ec4fdfdfa4a0c"/>
    <x:sheet xmlns:r="http://schemas.openxmlformats.org/officeDocument/2006/relationships" name="里程碑" sheetId="2" r:id="R187bce0507ee4718"/>
    <x:sheet xmlns:r="http://schemas.openxmlformats.org/officeDocument/2006/relationships" name="开发任务" sheetId="3" r:id="R9066a5e3f311410c"/>
    <x:sheet xmlns:r="http://schemas.openxmlformats.org/officeDocument/2006/relationships" name="功能规格" sheetId="4" r:id="Rb7c7a4c995ff447e"/>
    <x:sheet xmlns:r="http://schemas.openxmlformats.org/officeDocument/2006/relationships" name="验收用例" sheetId="5" r:id="Raccbefbfbb6045f2"/>
    <x:sheet xmlns:r="http://schemas.openxmlformats.org/officeDocument/2006/relationships" name="风险" sheetId="6" r:id="R371c716c6aa6434f"/>
    <x:sheet xmlns:r="http://schemas.openxmlformats.org/officeDocument/2006/relationships" name="资料与假设" sheetId="7" r:id="Rd189ae68939e4ad5"/>
    <x:sheet xmlns:r="http://schemas.openxmlformats.org/officeDocument/2006/relationships" name="复核意见" sheetId="8" r:id="Re8505bcda17f4f3f"/>
    <x:sheet xmlns:r="http://schemas.openxmlformats.org/officeDocument/2006/relationships" name="工量变更" sheetId="9" r:id="Re0ff47cd37fb4f84"/>
    <x:sheet xmlns:r="http://schemas.openxmlformats.org/officeDocument/2006/relationships" name="依赖分析" sheetId="10" r:id="Rce62eef1e05a46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%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64748B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0"/>
      <x:color rgb="FF17324D"/>
      <x:name val="Carlito"/>
    </x:font>
    <x:font>
      <x:b/>
      <x:sz val="26"/>
      <x:color rgb="FF17324D"/>
      <x:name val="Carlito"/>
    </x:font>
    <x:font>
      <x:b/>
      <x:sz val="12"/>
      <x:name val="Carlito"/>
    </x:font>
    <x:font>
      <x:b/>
      <x:sz val="17"/>
      <x:color rgb="FFFFFFFF"/>
      <x:name val="Carlito"/>
    </x:font>
    <x:font>
      <x:sz val="10"/>
      <x:color rgb="FF526D82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  <x:fill>
      <x:patternFill patternType="solid">
        <x:fgColor rgb="FFEAF6EE"/>
      </x:patternFill>
    </x:fill>
    <x:fill>
      <x:patternFill patternType="solid">
        <x:fgColor rgb="FFEAF3F6"/>
      </x:patternFill>
    </x:fill>
    <x:fill>
      <x:patternFill patternType="solid">
        <x:fgColor rgb="FFF7FAFC"/>
      </x:patternFill>
    </x:fill>
    <x:fill>
      <x:patternFill patternType="solid">
        <x:fgColor rgb="FFFFF3D6"/>
      </x:patternFill>
    </x:fill>
    <x:fill>
      <x:patternFill patternType="solid">
        <x:fgColor rgb="FF19374E"/>
      </x:patternFill>
    </x:fill>
    <x:fill>
      <x:patternFill patternType="solid">
        <x:fgColor rgb="FF137F91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4" borderId="0" xfId="0" applyNumberFormat="1" applyFont="1" applyFill="1" applyBorder="1" applyAlignment="1">
      <x:alignment vertical="top" wrapText="1"/>
    </x:xf>
    <x:xf numFmtId="201" fontId="3" fillId="4" borderId="1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2" fontId="0" fillId="4" borderId="0" xfId="0" applyNumberFormat="1" applyFont="1" applyFill="1" applyBorder="1"/>
    <x:xf numFmtId="202" fontId="0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D1FAE5"/>
        </x:patternFill>
      </x:fill>
    </x:dxf>
    <x:dxf>
      <x:fill>
        <x:patternFill>
          <x:bgColor rgb="FFFEE2E2"/>
        </x:patternFill>
      </x:fill>
    </x:dxf>
    <x:dxf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67a8c790c4c86" /><Relationship Type="http://schemas.openxmlformats.org/officeDocument/2006/relationships/theme" Target="/xl/theme/theme1.xml" Id="R9728829b53c74599" /><Relationship Type="http://schemas.openxmlformats.org/officeDocument/2006/relationships/sharedStrings" Target="/xl/sharedStrings.xml" Id="R0255d47cc6af456b" /><Relationship Type="http://schemas.openxmlformats.org/officeDocument/2006/relationships/worksheet" Target="/xl/worksheets/sheet1.xml" Id="R0d0ec4fdfdfa4a0c" /><Relationship Type="http://schemas.openxmlformats.org/officeDocument/2006/relationships/worksheet" Target="/xl/worksheets/sheet2.xml" Id="R187bce0507ee4718" /><Relationship Type="http://schemas.openxmlformats.org/officeDocument/2006/relationships/worksheet" Target="/xl/worksheets/sheet3.xml" Id="R9066a5e3f311410c" /><Relationship Type="http://schemas.openxmlformats.org/officeDocument/2006/relationships/worksheet" Target="/xl/worksheets/sheet4.xml" Id="Rb7c7a4c995ff447e" /><Relationship Type="http://schemas.openxmlformats.org/officeDocument/2006/relationships/worksheet" Target="/xl/worksheets/sheet5.xml" Id="Raccbefbfbb6045f2" /><Relationship Type="http://schemas.openxmlformats.org/officeDocument/2006/relationships/worksheet" Target="/xl/worksheets/sheet6.xml" Id="R371c716c6aa6434f" /><Relationship Type="http://schemas.openxmlformats.org/officeDocument/2006/relationships/worksheet" Target="/xl/worksheets/sheet7.xml" Id="Rd189ae68939e4ad5" /><Relationship Type="http://schemas.openxmlformats.org/officeDocument/2006/relationships/worksheet" Target="/xl/worksheets/sheet8.xml" Id="Re8505bcda17f4f3f" /><Relationship Type="http://schemas.openxmlformats.org/officeDocument/2006/relationships/worksheet" Target="/xl/worksheets/sheet9.xml" Id="Re0ff47cd37fb4f84" /><Relationship Type="http://schemas.openxmlformats.org/officeDocument/2006/relationships/worksheet" Target="/xl/worksheets/sheet10.xml" Id="Rce62eef1e05a46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0c0fb4c2694b4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下限</c:v>
          </c:tx>
          <c:cat>
            <c:strRef>
              <c:f>'总览'!$A$13:$A$21</c:f>
              <c:strCache>
                <c:ptCount val="0"/>
              </c:strCache>
            </c:strRef>
          </c:cat>
          <c:val>
            <c:numRef>
              <c:f>'总览'!$D$13:$D$21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上限</c:v>
          </c:tx>
          <c:cat>
            <c:strRef>
              <c:f>'总览'!$A$13:$A$21</c:f>
              <c:strCache>
                <c:ptCount val="0"/>
              </c:strCache>
            </c:strRef>
          </c:cat>
          <c:val>
            <c:numRef>
              <c:f>'总览'!$E$13:$E$21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11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0c0fb4c2694b4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Milestones" displayName="Milestones" ref="A4:I13" headerRowCount="1" totalsRowCount="0" totalsRowShown="0">
  <x:tableColumns count="9">
    <x:tableColumn id="1" name="阶段"/>
    <x:tableColumn id="2" name="主题"/>
    <x:tableColumn id="3" name="工作包数"/>
    <x:tableColumn id="4" name="低估人日"/>
    <x:tableColumn id="5" name="高估人日"/>
    <x:tableColumn id="6" name="已完成"/>
    <x:tableColumn id="7" name="完成比例"/>
    <x:tableColumn id="8" name="发布节点"/>
    <x:tableColumn id="9" name="退出门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evelopmentTasks" displayName="DevelopmentTasks" ref="A4:N87" headerRowCount="1" totalsRowCount="0" totalsRowShown="0">
  <x:tableColumns count="14">
    <x:tableColumn id="1" name="工作包"/>
    <x:tableColumn id="2" name="功能ID"/>
    <x:tableColumn id="3" name="里程碑"/>
    <x:tableColumn id="4" name="任务名称"/>
    <x:tableColumn id="5" name="负责人角色"/>
    <x:tableColumn id="6" name="依赖工作包"/>
    <x:tableColumn id="7" name="低估人日"/>
    <x:tableColumn id="8" name="高估人日"/>
    <x:tableColumn id="9" name="状态"/>
    <x:tableColumn id="10" name="验收用例"/>
    <x:tableColumn id="11" name="交付物"/>
    <x:tableColumn id="12" name="完成条件"/>
    <x:tableColumn id="13" name="实际人日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eatureContracts" displayName="FeatureContracts" ref="A4:I87" headerRowCount="1" totalsRowCount="0" totalsRowShown="0">
  <x:tableColumns count="9">
    <x:tableColumn id="1" name="功能ID"/>
    <x:tableColumn id="2" name="名称"/>
    <x:tableColumn id="3" name="阶段"/>
    <x:tableColumn id="4" name="输入"/>
    <x:tableColumn id="5" name="输出"/>
    <x:tableColumn id="6" name="实现规则"/>
    <x:tableColumn id="7" name="模型要求"/>
    <x:tableColumn id="8" name="依赖功能"/>
    <x:tableColumn id="9" name="验收条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ceptanceItems" displayName="AcceptanceItems" ref="A4:H165" headerRowCount="1" totalsRowCount="0" totalsRowShown="0">
  <x:tableColumns count="8">
    <x:tableColumn id="1" name="用例ID"/>
    <x:tableColumn id="2" name="分类"/>
    <x:tableColumn id="3" name="用例名称"/>
    <x:tableColumn id="4" name="关联功能"/>
    <x:tableColumn id="5" name="阶段"/>
    <x:tableColumn id="6" name="场景/输入"/>
    <x:tableColumn id="7" name="通过条件"/>
    <x:tableColumn id="8" name="执行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skRegister" displayName="RiskRegister" ref="A4:G16" headerRowCount="1" totalsRowCount="0" totalsRowShown="0">
  <x:tableColumns count="7">
    <x:tableColumn id="1" name="风险ID"/>
    <x:tableColumn id="2" name="风险"/>
    <x:tableColumn id="3" name="关联工作包"/>
    <x:tableColumn id="4" name="触发信号"/>
    <x:tableColumn id="5" name="处置"/>
    <x:tableColumn id="6" name="责任角色"/>
    <x:tableColumn id="7" name="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ferenceSources" displayName="ReferenceSources" ref="A14:F38" headerRowCount="1" totalsRowCount="0" totalsRowShown="0">
  <x:tableColumns count="6">
    <x:tableColumn id="1" name="资料ID"/>
    <x:tableColumn id="2" name="资料名称"/>
    <x:tableColumn id="3" name="官方地址"/>
    <x:tableColumn id="4" name="查阅日期"/>
    <x:tableColumn id="5" name="用途"/>
    <x:tableColumn id="6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viewDecisions" displayName="ReviewDecisions" ref="A4:J20" headerRowCount="1" totalsRowCount="0" totalsRowShown="0">
  <x:tableColumns count="10">
    <x:tableColumn id="1" name="ID"/>
    <x:tableColumn id="2" name="级别"/>
    <x:tableColumn id="3" name="问题"/>
    <x:tableColumn id="4" name="基线依据"/>
    <x:tableColumn id="5" name="决定"/>
    <x:tableColumn id="6" name="落实方式"/>
    <x:tableColumn id="7" name="关联功能"/>
    <x:tableColumn id="8" name="文档修订"/>
    <x:tableColumn id="9" name="代码实现"/>
    <x:tableColumn id="10" name="独立审核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ffortChanges" displayName="EffortChanges" ref="A4:I20" headerRowCount="1" totalsRowCount="0" totalsRowShown="0">
  <x:tableColumns count="9">
    <x:tableColumn id="1" name="任务"/>
    <x:tableColumn id="2" name="功能"/>
    <x:tableColumn id="3" name="旧下限"/>
    <x:tableColumn id="4" name="旧上限"/>
    <x:tableColumn id="5" name="新下限"/>
    <x:tableColumn id="6" name="新上限"/>
    <x:tableColumn id="7" name="下限差"/>
    <x:tableColumn id="8" name="上限差"/>
    <x:tableColumn id="9" name="原因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pendencyAnalysis" displayName="DependencyAnalysis" ref="A4:H87" headerRowCount="1" totalsRowCount="0" totalsRowShown="0">
  <x:tableColumns count="8">
    <x:tableColumn id="1" name="任务"/>
    <x:tableColumn id="2" name="功能"/>
    <x:tableColumn id="3" name="阶段"/>
    <x:tableColumn id="4" name="前置功能"/>
    <x:tableColumn id="5" name="本包低"/>
    <x:tableColumn id="6" name="本包高"/>
    <x:tableColumn id="7" name="链低人日"/>
    <x:tableColumn id="8" name="链高人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1650e47c7974f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663a57916f4d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669b5a05c74a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71214b24c941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464a943f7841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c9ca838f7e49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408aad908f4f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e1e91c159246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aa1d25c22a49a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e0c3f7370884c35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54" t="str">
        <x:v>搜索平台 · 修订蓝图 v1.1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</x:row>
    <x:row r="2" ht="34" customHeight="1">
      <x:c r="A2" s="55" t="str">
        <x:v>83工作包 / 161计划验收 / 16项自审意见 · 独立子Agent审核未执行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  <x:c r="J3" s="56"/>
      <x:c r="K3" s="56"/>
      <x:c r="L3" s="56"/>
      <x:c r="M3" s="56"/>
      <x:c r="N3" s="56"/>
    </x:row>
    <x:row r="4" ht="26" customHeight="1">
      <x:c r="A4" s="57" t="str">
        <x:v>工作包数量</x:v>
      </x:c>
      <x:c r="B4" s="57"/>
      <x:c r="C4" s="57"/>
      <x:c r="D4" s="57" t="str">
        <x:v>基础工量下限（人日）</x:v>
      </x:c>
      <x:c r="E4" s="57"/>
      <x:c r="F4" s="57"/>
      <x:c r="G4" s="57" t="str">
        <x:v>基础工量上限（人日）</x:v>
      </x:c>
      <x:c r="H4" s="57"/>
      <x:c r="I4" s="57"/>
      <x:c r="J4" s="57" t="str">
        <x:v>已完成工作包</x:v>
      </x:c>
      <x:c r="K4" s="57"/>
      <x:c r="L4" s="57"/>
      <x:c r="M4" s="56"/>
      <x:c r="N4" s="56"/>
    </x:row>
    <x:row r="5" ht="27" customHeight="1">
      <x:c r="A5" s="58" t="n">
        <x:f>COUNTA('开发任务'!A5:A87)</x:f>
        <x:v>83</x:v>
      </x:c>
      <x:c r="B5" s="58"/>
      <x:c r="C5" s="58"/>
      <x:c r="D5" s="58" t="n">
        <x:f>SUM('开发任务'!G5:G87)</x:f>
        <x:v>471</x:v>
      </x:c>
      <x:c r="E5" s="58"/>
      <x:c r="F5" s="58"/>
      <x:c r="G5" s="58" t="n">
        <x:f>SUM('开发任务'!H5:H87)</x:f>
        <x:v>811</x:v>
      </x:c>
      <x:c r="H5" s="58"/>
      <x:c r="I5" s="58"/>
      <x:c r="J5" s="58" t="n">
        <x:f>COUNTIF('开发任务'!I5:I87,"完成")</x:f>
        <x:v>0</x:v>
      </x:c>
      <x:c r="K5" s="58"/>
      <x:c r="L5" s="58"/>
      <x:c r="M5" s="56"/>
      <x:c r="N5" s="56"/>
    </x:row>
    <x:row r="6" ht="27" customHeight="1">
      <x:c r="A6" s="58"/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6"/>
      <x:c r="N6" s="56"/>
    </x:row>
    <x:row r="7">
      <x:c r="A7" s="56"/>
      <x:c r="B7" s="56"/>
      <x:c r="C7" s="56"/>
      <x:c r="D7" s="56"/>
      <x:c r="E7" s="56"/>
      <x:c r="F7" s="56"/>
      <x:c r="G7" s="56"/>
      <x:c r="H7" s="56"/>
      <x:c r="I7" s="56"/>
      <x:c r="J7" s="56"/>
      <x:c r="K7" s="56"/>
      <x:c r="L7" s="56"/>
      <x:c r="M7" s="56"/>
      <x:c r="N7" s="56"/>
    </x:row>
    <x:row r="8" ht="30" customHeight="1">
      <x:c r="A8" s="59" t="str">
        <x:v>含一次风险缓冲的规划工量（人日）</x:v>
      </x:c>
      <x:c r="B8" s="59"/>
      <x:c r="C8" s="59"/>
      <x:c r="D8" s="59"/>
      <x:c r="E8" s="59"/>
      <x:c r="F8" s="59"/>
      <x:c r="G8" s="59" t="n">
        <x:f>ROUNDUP(D5*(1+'资料与假设'!B5),0)</x:f>
        <x:v>613</x:v>
      </x:c>
      <x:c r="H8" s="59"/>
      <x:c r="I8" s="59"/>
      <x:c r="J8" s="59" t="n">
        <x:f>ROUNDUP(G5*(1+'资料与假设'!B5),0)</x:f>
        <x:v>1055</x:v>
      </x:c>
      <x:c r="K8" s="59"/>
      <x:c r="L8" s="59"/>
      <x:c r="M8" s="56"/>
      <x:c r="N8" s="56"/>
    </x:row>
    <x:row r="9">
      <x:c r="A9" s="56"/>
      <x:c r="B9" s="56"/>
      <x:c r="C9" s="56"/>
      <x:c r="D9" s="56"/>
      <x:c r="E9" s="56"/>
      <x:c r="F9" s="56"/>
      <x:c r="G9" s="56"/>
      <x:c r="H9" s="56"/>
      <x:c r="I9" s="56"/>
      <x:c r="J9" s="56"/>
      <x:c r="K9" s="56"/>
      <x:c r="L9" s="56"/>
      <x:c r="M9" s="56"/>
      <x:c r="N9" s="56"/>
    </x:row>
    <x:row r="10" ht="35" customHeight="1">
      <x:c r="A10" s="55" t="str">
        <x:v>文档已修订，不等于产品已实现或独立审核通过。471–811基础人日为暂估；团队/硬件未知，不承诺发布日期。</x:v>
      </x:c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</x:row>
    <x:row r="11">
      <x:c r="A11" s="56"/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</x:row>
    <x:row r="12" ht="32" customHeight="1">
      <x:c r="A12" s="19" t="str">
        <x:v>阶段</x:v>
      </x:c>
      <x:c r="B12" s="19" t="str">
        <x:v>主题</x:v>
      </x:c>
      <x:c r="C12" s="19" t="str">
        <x:v>包数</x:v>
      </x:c>
      <x:c r="D12" s="19" t="str">
        <x:v>低人日</x:v>
      </x:c>
      <x:c r="E12" s="19" t="str">
        <x:v>高人日</x:v>
      </x:c>
      <x:c r="F12" s="19" t="str">
        <x:v>完成率</x:v>
      </x:c>
      <x:c r="G12" s="56"/>
      <x:c r="H12" s="56"/>
      <x:c r="I12" s="56"/>
      <x:c r="J12" s="56"/>
      <x:c r="K12" s="56"/>
      <x:c r="L12" s="56"/>
      <x:c r="M12" s="56"/>
      <x:c r="N12" s="56"/>
    </x:row>
    <x:row r="13" ht="40" customHeight="1">
      <x:c r="A13" s="60" t="str">
        <x:v>M0</x:v>
      </x:c>
      <x:c r="B13" s="60" t="str">
        <x:v>工程与安全底座</x:v>
      </x:c>
      <x:c r="C13" s="60" t="n">
        <x:f>'里程碑'!C5</x:f>
        <x:v>12</x:v>
      </x:c>
      <x:c r="D13" s="60" t="n">
        <x:f>'里程碑'!D5</x:f>
        <x:v>61</x:v>
      </x:c>
      <x:c r="E13" s="60" t="n">
        <x:f>'里程碑'!E5</x:f>
        <x:v>104</x:v>
      </x:c>
      <x:c r="F13" s="61" t="n">
        <x:f>'里程碑'!G5</x:f>
        <x:v>0</x:v>
      </x:c>
      <x:c r="G13" s="56"/>
      <x:c r="H13" s="56"/>
      <x:c r="I13" s="56"/>
      <x:c r="J13" s="56"/>
      <x:c r="K13" s="56"/>
      <x:c r="L13" s="56"/>
      <x:c r="M13" s="56"/>
      <x:c r="N13" s="56"/>
    </x:row>
    <x:row r="14" ht="40" customHeight="1">
      <x:c r="A14" s="60" t="str">
        <x:v>M1</x:v>
      </x:c>
      <x:c r="B14" s="60" t="str">
        <x:v>多源搜索与会话</x:v>
      </x:c>
      <x:c r="C14" s="60" t="n">
        <x:f>'里程碑'!C6</x:f>
        <x:v>14</x:v>
      </x:c>
      <x:c r="D14" s="60" t="n">
        <x:f>'里程碑'!D6</x:f>
        <x:v>70</x:v>
      </x:c>
      <x:c r="E14" s="60" t="n">
        <x:f>'里程碑'!E6</x:f>
        <x:v>122</x:v>
      </x:c>
      <x:c r="F14" s="61" t="n">
        <x:f>'里程碑'!G6</x:f>
        <x:v>0</x:v>
      </x:c>
      <x:c r="G14" s="56"/>
      <x:c r="H14" s="56"/>
      <x:c r="I14" s="56"/>
      <x:c r="J14" s="56"/>
      <x:c r="K14" s="56"/>
      <x:c r="L14" s="56"/>
      <x:c r="M14" s="56"/>
      <x:c r="N14" s="56"/>
    </x:row>
    <x:row r="15" ht="40" customHeight="1">
      <x:c r="A15" s="60" t="str">
        <x:v>M2</x:v>
      </x:c>
      <x:c r="B15" s="60" t="str">
        <x:v>网页采集与全文索引</x:v>
      </x:c>
      <x:c r="C15" s="60" t="n">
        <x:f>'里程碑'!C7</x:f>
        <x:v>12</x:v>
      </x:c>
      <x:c r="D15" s="60" t="n">
        <x:f>'里程碑'!D7</x:f>
        <x:v>73</x:v>
      </x:c>
      <x:c r="E15" s="60" t="n">
        <x:f>'里程碑'!E7</x:f>
        <x:v>126</x:v>
      </x:c>
      <x:c r="F15" s="61" t="n">
        <x:f>'里程碑'!G7</x:f>
        <x:v>0</x:v>
      </x:c>
      <x:c r="G15" s="56"/>
      <x:c r="H15" s="56"/>
      <x:c r="I15" s="56"/>
      <x:c r="J15" s="56"/>
      <x:c r="K15" s="56"/>
      <x:c r="L15" s="56"/>
      <x:c r="M15" s="56"/>
      <x:c r="N15" s="56"/>
    </x:row>
    <x:row r="16" ht="40" customHeight="1">
      <x:c r="A16" s="60" t="str">
        <x:v>M3</x:v>
      </x:c>
      <x:c r="B16" s="60" t="str">
        <x:v>搜索正确性与体验</x:v>
      </x:c>
      <x:c r="C16" s="60" t="n">
        <x:f>'里程碑'!C8</x:f>
        <x:v>10</x:v>
      </x:c>
      <x:c r="D16" s="60" t="n">
        <x:f>'里程碑'!D8</x:f>
        <x:v>48</x:v>
      </x:c>
      <x:c r="E16" s="60" t="n">
        <x:f>'里程碑'!E8</x:f>
        <x:v>82</x:v>
      </x:c>
      <x:c r="F16" s="61" t="n">
        <x:f>'里程碑'!G8</x:f>
        <x:v>0</x:v>
      </x:c>
      <x:c r="G16" s="56"/>
      <x:c r="H16" s="56"/>
      <x:c r="I16" s="56"/>
      <x:c r="J16" s="56"/>
      <x:c r="K16" s="56"/>
      <x:c r="L16" s="56"/>
      <x:c r="M16" s="56"/>
      <x:c r="N16" s="56"/>
    </x:row>
    <x:row r="17" ht="40" customHeight="1">
      <x:c r="A17" s="60" t="str">
        <x:v>M4</x:v>
      </x:c>
      <x:c r="B17" s="60" t="str">
        <x:v>模型、证据与研究</x:v>
      </x:c>
      <x:c r="C17" s="60" t="n">
        <x:f>'里程碑'!C9</x:f>
        <x:v>10</x:v>
      </x:c>
      <x:c r="D17" s="60" t="n">
        <x:f>'里程碑'!D9</x:f>
        <x:v>59</x:v>
      </x:c>
      <x:c r="E17" s="60" t="n">
        <x:f>'里程碑'!E9</x:f>
        <x:v>99</x:v>
      </x:c>
      <x:c r="F17" s="61" t="n">
        <x:f>'里程碑'!G9</x:f>
        <x:v>0</x:v>
      </x:c>
      <x:c r="G17" s="56"/>
      <x:c r="H17" s="56"/>
      <x:c r="I17" s="56"/>
      <x:c r="J17" s="56"/>
      <x:c r="K17" s="56"/>
      <x:c r="L17" s="56"/>
      <x:c r="M17" s="56"/>
      <x:c r="N17" s="56"/>
    </x:row>
    <x:row r="18" ht="40" customHeight="1">
      <x:c r="A18" s="60" t="str">
        <x:v>M5</x:v>
      </x:c>
      <x:c r="B18" s="60" t="str">
        <x:v>垂直搜索与私人资料</x:v>
      </x:c>
      <x:c r="C18" s="60" t="n">
        <x:f>'里程碑'!C10</x:f>
        <x:v>7</x:v>
      </x:c>
      <x:c r="D18" s="60" t="n">
        <x:f>'里程碑'!D10</x:f>
        <x:v>45</x:v>
      </x:c>
      <x:c r="E18" s="60" t="n">
        <x:f>'里程碑'!E10</x:f>
        <x:v>80</x:v>
      </x:c>
      <x:c r="F18" s="61" t="n">
        <x:f>'里程碑'!G10</x:f>
        <x:v>0</x:v>
      </x:c>
      <x:c r="G18" s="56"/>
      <x:c r="H18" s="56"/>
      <x:c r="I18" s="56"/>
      <x:c r="J18" s="56"/>
      <x:c r="K18" s="56"/>
      <x:c r="L18" s="56"/>
      <x:c r="M18" s="56"/>
      <x:c r="N18" s="56"/>
    </x:row>
    <x:row r="19" ht="40" customHeight="1">
      <x:c r="A19" s="60" t="str">
        <x:v>M6</x:v>
      </x:c>
      <x:c r="B19" s="60" t="str">
        <x:v>图片与音视频</x:v>
      </x:c>
      <x:c r="C19" s="60" t="n">
        <x:f>'里程碑'!C11</x:f>
        <x:v>5</x:v>
      </x:c>
      <x:c r="D19" s="60" t="n">
        <x:f>'里程碑'!D11</x:f>
        <x:v>40</x:v>
      </x:c>
      <x:c r="E19" s="60" t="n">
        <x:f>'里程碑'!E11</x:f>
        <x:v>69</x:v>
      </x:c>
      <x:c r="F19" s="61" t="n">
        <x:f>'里程碑'!G11</x:f>
        <x:v>0</x:v>
      </x:c>
      <x:c r="G19" s="56"/>
      <x:c r="H19" s="56"/>
      <x:c r="I19" s="56"/>
      <x:c r="J19" s="56"/>
      <x:c r="K19" s="56"/>
      <x:c r="L19" s="56"/>
      <x:c r="M19" s="56"/>
      <x:c r="N19" s="56"/>
    </x:row>
    <x:row r="20" ht="40" customHeight="1">
      <x:c r="A20" s="60" t="str">
        <x:v>M7</x:v>
      </x:c>
      <x:c r="B20" s="60" t="str">
        <x:v>工作区、订阅与完整接口</x:v>
      </x:c>
      <x:c r="C20" s="60" t="n">
        <x:f>'里程碑'!C12</x:f>
        <x:v>8</x:v>
      </x:c>
      <x:c r="D20" s="60" t="n">
        <x:f>'里程碑'!D12</x:f>
        <x:v>44</x:v>
      </x:c>
      <x:c r="E20" s="60" t="n">
        <x:f>'里程碑'!E12</x:f>
        <x:v>76</x:v>
      </x:c>
      <x:c r="F20" s="61" t="n">
        <x:f>'里程碑'!G12</x:f>
        <x:v>0</x:v>
      </x:c>
      <x:c r="G20" s="56"/>
      <x:c r="H20" s="56"/>
      <x:c r="I20" s="56"/>
      <x:c r="J20" s="56"/>
      <x:c r="K20" s="56"/>
      <x:c r="L20" s="56"/>
      <x:c r="M20" s="56"/>
      <x:c r="N20" s="56"/>
    </x:row>
    <x:row r="21" ht="40" customHeight="1">
      <x:c r="A21" s="60" t="str">
        <x:v>M8</x:v>
      </x:c>
      <x:c r="B21" s="60" t="str">
        <x:v>规模、加固与正式交付</x:v>
      </x:c>
      <x:c r="C21" s="60" t="n">
        <x:f>'里程碑'!C13</x:f>
        <x:v>5</x:v>
      </x:c>
      <x:c r="D21" s="60" t="n">
        <x:f>'里程碑'!D13</x:f>
        <x:v>31</x:v>
      </x:c>
      <x:c r="E21" s="60" t="n">
        <x:f>'里程碑'!E13</x:f>
        <x:v>53</x:v>
      </x:c>
      <x:c r="F21" s="61" t="n">
        <x:f>'里程碑'!G13</x:f>
        <x:v>0</x:v>
      </x:c>
      <x:c r="G21" s="56"/>
      <x:c r="H21" s="56"/>
      <x:c r="I21" s="56"/>
      <x:c r="J21" s="56"/>
      <x:c r="K21" s="56"/>
      <x:c r="L21" s="56"/>
      <x:c r="M21" s="56"/>
      <x:c r="N21" s="56"/>
    </x:row>
    <x:row r="22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</x:row>
    <x:row r="23" ht="30" customHeight="1">
      <x:c r="A23" s="55" t="str">
        <x:v>复核详情：复核意见 → 工量变更 → 依赖分析；原77项功能和ID全部保留。</x:v>
      </x:c>
      <x:c r="B23" s="55"/>
      <x:c r="C23" s="55"/>
      <x:c r="D23" s="55"/>
      <x:c r="E23" s="55"/>
      <x:c r="F23" s="55"/>
      <x:c r="G23" s="56"/>
      <x:c r="H23" s="56"/>
      <x:c r="I23" s="56"/>
      <x:c r="J23" s="56"/>
      <x:c r="K23" s="56"/>
      <x:c r="L23" s="56"/>
      <x:c r="M23" s="56"/>
      <x:c r="N23" s="56"/>
    </x:row>
    <x:row r="24" ht="30" customHeight="1">
      <x:c r="A24" s="55" t="str">
        <x:v>34个设计合同样例另行实测；161项产品验收仍未执行。配置/工量修改后汇总自动更新；审查状态不得由任务完成率推定。</x:v>
      </x:c>
      <x:c r="B24" s="55"/>
      <x:c r="C24" s="55"/>
      <x:c r="D24" s="55"/>
      <x:c r="E24" s="55"/>
      <x:c r="F24" s="55"/>
      <x:c r="G24" s="56"/>
      <x:c r="H24" s="56"/>
      <x:c r="I24" s="56"/>
      <x:c r="J24" s="56"/>
      <x:c r="K24" s="56"/>
      <x:c r="L24" s="56"/>
      <x:c r="M24" s="56"/>
      <x:c r="N24" s="56"/>
    </x:row>
    <x:row r="25" ht="30" customHeight="1">
      <x:c r="A25" s="55"/>
      <x:c r="B25" s="55"/>
      <x:c r="C25" s="55"/>
      <x:c r="D25" s="55"/>
      <x:c r="E25" s="55"/>
      <x:c r="F25" s="55"/>
      <x:c r="G25" s="56"/>
      <x:c r="H25" s="56"/>
      <x:c r="I25" s="56"/>
      <x:c r="J25" s="56"/>
      <x:c r="K25" s="56"/>
      <x:c r="L25" s="56"/>
      <x:c r="M25" s="56"/>
      <x:c r="N25" s="56"/>
    </x:row>
    <x:row r="26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</x:row>
  </x:sheetData>
  <x:mergeCells>
    <x:mergeCell ref="A1:N1"/>
    <x:mergeCell ref="A2:N2"/>
    <x:mergeCell ref="A4:C4"/>
    <x:mergeCell ref="A5:C6"/>
    <x:mergeCell ref="D4:F4"/>
    <x:mergeCell ref="D5:F6"/>
    <x:mergeCell ref="G4:I4"/>
    <x:mergeCell ref="G5:I6"/>
    <x:mergeCell ref="J4:L4"/>
    <x:mergeCell ref="J5:L6"/>
    <x:mergeCell ref="A8:F8"/>
    <x:mergeCell ref="G8:I8"/>
    <x:mergeCell ref="J8:L8"/>
    <x:mergeCell ref="A10:N10"/>
    <x:mergeCell ref="A23:F23"/>
    <x:mergeCell ref="A24:F25"/>
  </x:mergeCells>
  <x:pageMargins left="0.7" right="0.7" top="0.75" bottom="0.75" header="0.3" footer="0.3"/>
  <x:drawing xmlns:r="http://schemas.openxmlformats.org/officeDocument/2006/relationships" r:id="R51650e47c7974f2f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7" hidden="0" customWidth="1"/>
    <x:col min="9" max="9" width="55" hidden="0" customWidth="1"/>
  </x:cols>
  <x:sheetData>
    <x:row r="1" ht="34" customHeight="1">
      <x:c r="A1" s="3" t="str">
        <x:v>里程碑与退出门禁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阶段是验收分组，不强制串行；实际计划按任务依赖与团队容量调整。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9" t="str">
        <x:v>阶段</x:v>
      </x:c>
      <x:c r="B4" s="19" t="str">
        <x:v>主题</x:v>
      </x:c>
      <x:c r="C4" s="19" t="str">
        <x:v>工作包数</x:v>
      </x:c>
      <x:c r="D4" s="19" t="str">
        <x:v>低估人日</x:v>
      </x:c>
      <x:c r="E4" s="19" t="str">
        <x:v>高估人日</x:v>
      </x:c>
      <x:c r="F4" s="19" t="str">
        <x:v>已完成</x:v>
      </x:c>
      <x:c r="G4" s="19" t="str">
        <x:v>完成比例</x:v>
      </x:c>
      <x:c r="H4" s="19" t="str">
        <x:v>发布节点</x:v>
      </x:c>
      <x:c r="I4" s="19" t="str">
        <x:v>退出门禁</x:v>
      </x:c>
    </x:row>
    <x:row r="5" ht="106" customHeight="1">
      <x:c r="A5" s="12" t="str">
        <x:v>M0</x:v>
      </x:c>
      <x:c r="B5" s="12" t="str">
        <x:v>工程与安全底座</x:v>
      </x:c>
      <x:c r="C5" s="12" t="n">
        <x:f>COUNTIF('开发任务'!$C$5:$C$87,A5)</x:f>
        <x:v>12</x:v>
      </x:c>
      <x:c r="D5" s="12" t="n">
        <x:f>SUMIF('开发任务'!$C$5:$C$87,A5,'开发任务'!$G$5:$G$87)</x:f>
        <x:v>61</x:v>
      </x:c>
      <x:c r="E5" s="12" t="n">
        <x:f>SUMIF('开发任务'!$C$5:$C$87,A5,'开发任务'!$H$5:$H$87)</x:f>
        <x:v>104</x:v>
      </x:c>
      <x:c r="F5" s="12" t="n">
        <x:f>COUNTIFS('开发任务'!$C$5:$C$87,A5,'开发任务'!$I$5:$I$87,"完成")</x:f>
        <x:v>0</x:v>
      </x:c>
      <x:c r="G5" s="30" t="n">
        <x:f>IFERROR(F5/C5,0)</x:f>
        <x:v>0</x:v>
      </x:c>
      <x:c r="H5" s="12" t="str">
        <x:v>内部构建</x:v>
      </x:c>
      <x:c r="I5" s="12" t="str">
        <x:v>合同校验、Linux/Windows核心构建、隔离策略、持久任务恢复与版本快照样例通过；A类测试开始运行。 OPS-00/BACKUP-00/SPIKE-01/CONTRACT-02通过；独立审查状态不得用作者自审代替。</x:v>
      </x:c>
    </x:row>
    <x:row r="6" ht="106" customHeight="1">
      <x:c r="A6" s="12" t="str">
        <x:v>M1</x:v>
      </x:c>
      <x:c r="B6" s="12" t="str">
        <x:v>多源搜索与会话</x:v>
      </x:c>
      <x:c r="C6" s="12" t="n">
        <x:f>COUNTIF('开发任务'!$C$5:$C$87,A6)</x:f>
        <x:v>14</x:v>
      </x:c>
      <x:c r="D6" s="12" t="n">
        <x:f>SUMIF('开发任务'!$C$5:$C$87,A6,'开发任务'!$G$5:$G$87)</x:f>
        <x:v>70</x:v>
      </x:c>
      <x:c r="E6" s="12" t="n">
        <x:f>SUMIF('开发任务'!$C$5:$C$87,A6,'开发任务'!$H$5:$H$87)</x:f>
        <x:v>122</x:v>
      </x:c>
      <x:c r="F6" s="12" t="n">
        <x:f>COUNTIFS('开发任务'!$C$5:$C$87,A6,'开发任务'!$I$5:$I$87,"完成")</x:f>
        <x:v>0</x:v>
      </x:c>
      <x:c r="G6" s="30" t="n">
        <x:f>IFERROR(F6/C6,0)</x:f>
        <x:v>0</x:v>
      </x:c>
      <x:c r="H6" s="12" t="str">
        <x:v>搜索Alpha</x:v>
      </x:c>
      <x:c r="I6" s="12" t="str">
        <x:v>已审核3–5源可查；冻结分页无重复；部分结果/SSE/取消可用；所有非实测源仍禁用。 API-00和ROBOTS-01完成；web Alpha至少1个审核web来源，领域源数量不能替代。</x:v>
      </x:c>
    </x:row>
    <x:row r="7" ht="106" customHeight="1">
      <x:c r="A7" s="12" t="str">
        <x:v>M2</x:v>
      </x:c>
      <x:c r="B7" s="12" t="str">
        <x:v>网页采集与全文索引</x:v>
      </x:c>
      <x:c r="C7" s="12" t="n">
        <x:f>COUNTIF('开发任务'!$C$5:$C$87,A7)</x:f>
        <x:v>12</x:v>
      </x:c>
      <x:c r="D7" s="12" t="n">
        <x:f>SUMIF('开发任务'!$C$5:$C$87,A7,'开发任务'!$G$5:$G$87)</x:f>
        <x:v>73</x:v>
      </x:c>
      <x:c r="E7" s="12" t="n">
        <x:f>SUMIF('开发任务'!$C$5:$C$87,A7,'开发任务'!$H$5:$H$87)</x:f>
        <x:v>126</x:v>
      </x:c>
      <x:c r="F7" s="12" t="n">
        <x:f>COUNTIFS('开发任务'!$C$5:$C$87,A7,'开发任务'!$I$5:$I$87,"完成")</x:f>
        <x:v>0</x:v>
      </x:c>
      <x:c r="G7" s="30" t="n">
        <x:f>IFERROR(F7/C7,0)</x:f>
        <x:v>0</x:v>
      </x:c>
      <x:c r="H7" s="12" t="str">
        <x:v>采集Alpha</x:v>
      </x:c>
      <x:c r="I7" s="12" t="str">
        <x:v>搜索→读取/限定爬取→快照→全文检索闭环；基础新增/更新/删除/撤权生效；公开索引规则通过。</x:v>
      </x:c>
    </x:row>
    <x:row r="8" ht="106" customHeight="1">
      <x:c r="A8" s="12" t="str">
        <x:v>M3</x:v>
      </x:c>
      <x:c r="B8" s="12" t="str">
        <x:v>搜索正确性与体验</x:v>
      </x:c>
      <x:c r="C8" s="12" t="n">
        <x:f>COUNTIF('开发任务'!$C$5:$C$87,A8)</x:f>
        <x:v>10</x:v>
      </x:c>
      <x:c r="D8" s="12" t="n">
        <x:f>SUMIF('开发任务'!$C$5:$C$87,A8,'开发任务'!$G$5:$G$87)</x:f>
        <x:v>48</x:v>
      </x:c>
      <x:c r="E8" s="12" t="n">
        <x:f>SUMIF('开发任务'!$C$5:$C$87,A8,'开发任务'!$H$5:$H$87)</x:f>
        <x:v>82</x:v>
      </x:c>
      <x:c r="F8" s="12" t="n">
        <x:f>COUNTIFS('开发任务'!$C$5:$C$87,A8,'开发任务'!$I$5:$I$87,"完成")</x:f>
        <x:v>0</x:v>
      </x:c>
      <x:c r="G8" s="30" t="n">
        <x:f>IFERROR(F8/C8,0)</x:f>
        <x:v>0</x:v>
      </x:c>
      <x:c r="H8" s="12" t="str">
        <x:v>搜索Beta</x:v>
      </x:c>
      <x:c r="I8" s="12" t="str">
        <x:v>精确/中文/硬条件/分面/排序解释测试通过；相关性基准建立；strict不存在伪满足。 固定语料/环境/阈值/留出集已冻结，不能空值放行。</x:v>
      </x:c>
    </x:row>
    <x:row r="9" ht="106" customHeight="1">
      <x:c r="A9" s="12" t="str">
        <x:v>M4</x:v>
      </x:c>
      <x:c r="B9" s="12" t="str">
        <x:v>模型、证据与研究</x:v>
      </x:c>
      <x:c r="C9" s="12" t="n">
        <x:f>COUNTIF('开发任务'!$C$5:$C$87,A9)</x:f>
        <x:v>10</x:v>
      </x:c>
      <x:c r="D9" s="12" t="n">
        <x:f>SUMIF('开发任务'!$C$5:$C$87,A9,'开发任务'!$G$5:$G$87)</x:f>
        <x:v>59</x:v>
      </x:c>
      <x:c r="E9" s="12" t="n">
        <x:f>SUMIF('开发任务'!$C$5:$C$87,A9,'开发任务'!$H$5:$H$87)</x:f>
        <x:v>99</x:v>
      </x:c>
      <x:c r="F9" s="12" t="n">
        <x:f>COUNTIFS('开发任务'!$C$5:$C$87,A9,'开发任务'!$I$5:$I$87,"完成")</x:f>
        <x:v>0</x:v>
      </x:c>
      <x:c r="G9" s="30" t="n">
        <x:f>IFERROR(F9/C9,0)</x:f>
        <x:v>0</x:v>
      </x:c>
      <x:c r="H9" s="12" t="str">
        <x:v>R0.1基本完整版本</x:v>
      </x:c>
      <x:c r="I9" s="12" t="str">
        <x:v>用户文本模型驱动有界研究与引用；嵌入配置存在时语义检索可用；无模型基础模式仍通过。</x:v>
      </x:c>
    </x:row>
    <x:row r="10" ht="106" customHeight="1">
      <x:c r="A10" s="12" t="str">
        <x:v>M5</x:v>
      </x:c>
      <x:c r="B10" s="12" t="str">
        <x:v>垂直搜索与私人资料</x:v>
      </x:c>
      <x:c r="C10" s="12" t="n">
        <x:f>COUNTIF('开发任务'!$C$5:$C$87,A10)</x:f>
        <x:v>7</x:v>
      </x:c>
      <x:c r="D10" s="12" t="n">
        <x:f>SUMIF('开发任务'!$C$5:$C$87,A10,'开发任务'!$G$5:$G$87)</x:f>
        <x:v>45</x:v>
      </x:c>
      <x:c r="E10" s="12" t="n">
        <x:f>SUMIF('开发任务'!$C$5:$C$87,A10,'开发任务'!$H$5:$H$87)</x:f>
        <x:v>80</x:v>
      </x:c>
      <x:c r="F10" s="12" t="n">
        <x:f>COUNTIFS('开发任务'!$C$5:$C$87,A10,'开发任务'!$I$5:$I$87,"完成")</x:f>
        <x:v>0</x:v>
      </x:c>
      <x:c r="G10" s="30" t="n">
        <x:f>IFERROR(F10/C10,0)</x:f>
        <x:v>0</x:v>
      </x:c>
      <x:c r="H10" s="12" t="str">
        <x:v>R0.2垂直版本</x:v>
      </x:c>
      <x:c r="I10" s="12" t="str">
        <x:v>代码行号绑定版本、论文元数据/全文边界、私人资料权限及资料集核验通过；适配器扩充有审计。</x:v>
      </x:c>
    </x:row>
    <x:row r="11" ht="106" customHeight="1">
      <x:c r="A11" s="12" t="str">
        <x:v>M6</x:v>
      </x:c>
      <x:c r="B11" s="12" t="str">
        <x:v>图片与音视频</x:v>
      </x:c>
      <x:c r="C11" s="12" t="n">
        <x:f>COUNTIF('开发任务'!$C$5:$C$87,A11)</x:f>
        <x:v>5</x:v>
      </x:c>
      <x:c r="D11" s="12" t="n">
        <x:f>SUMIF('开发任务'!$C$5:$C$87,A11,'开发任务'!$G$5:$G$87)</x:f>
        <x:v>40</x:v>
      </x:c>
      <x:c r="E11" s="12" t="n">
        <x:f>SUMIF('开发任务'!$C$5:$C$87,A11,'开发任务'!$H$5:$H$87)</x:f>
        <x:v>69</x:v>
      </x:c>
      <x:c r="F11" s="12" t="n">
        <x:f>COUNTIFS('开发任务'!$C$5:$C$87,A11,'开发任务'!$I$5:$I$87,"完成")</x:f>
        <x:v>0</x:v>
      </x:c>
      <x:c r="G11" s="30" t="n">
        <x:f>IFERROR(F11/C11,0)</x:f>
        <x:v>0</x:v>
      </x:c>
      <x:c r="H11" s="12" t="str">
        <x:v>R0.3多模态版本</x:v>
      </x:c>
      <x:c r="I11" s="12" t="str">
        <x:v>以图搜图覆盖范围明确；转写/字幕/关键帧有时间位置；模型缺失与素材无权限时正确降级。</x:v>
      </x:c>
    </x:row>
    <x:row r="12" ht="106" customHeight="1">
      <x:c r="A12" s="12" t="str">
        <x:v>M7</x:v>
      </x:c>
      <x:c r="B12" s="12" t="str">
        <x:v>工作区、订阅与完整接口</x:v>
      </x:c>
      <x:c r="C12" s="12" t="n">
        <x:f>COUNTIF('开发任务'!$C$5:$C$87,A12)</x:f>
        <x:v>8</x:v>
      </x:c>
      <x:c r="D12" s="12" t="n">
        <x:f>SUMIF('开发任务'!$C$5:$C$87,A12,'开发任务'!$G$5:$G$87)</x:f>
        <x:v>44</x:v>
      </x:c>
      <x:c r="E12" s="12" t="n">
        <x:f>SUMIF('开发任务'!$C$5:$C$87,A12,'开发任务'!$H$5:$H$87)</x:f>
        <x:v>76</x:v>
      </x:c>
      <x:c r="F12" s="12" t="n">
        <x:f>COUNTIFS('开发任务'!$C$5:$C$87,A12,'开发任务'!$I$5:$I$87,"完成")</x:f>
        <x:v>0</x:v>
      </x:c>
      <x:c r="G12" s="30" t="n">
        <x:f>IFERROR(F12/C12,0)</x:f>
        <x:v>0</x:v>
      </x:c>
      <x:c r="H12" s="12" t="str">
        <x:v>R1.0候选版本</x:v>
      </x:c>
      <x:c r="I12" s="12" t="str">
        <x:v>收藏工作区、订阅、导出、通知、HTTP/CLI/MCP和完整UI全部可用且共享权限逻辑。</x:v>
      </x:c>
    </x:row>
    <x:row r="13" ht="106" customHeight="1">
      <x:c r="A13" s="12" t="str">
        <x:v>M8</x:v>
      </x:c>
      <x:c r="B13" s="12" t="str">
        <x:v>规模、加固与正式交付</x:v>
      </x:c>
      <x:c r="C13" s="12" t="n">
        <x:f>COUNTIF('开发任务'!$C$5:$C$87,A13)</x:f>
        <x:v>5</x:v>
      </x:c>
      <x:c r="D13" s="12" t="n">
        <x:f>SUMIF('开发任务'!$C$5:$C$87,A13,'开发任务'!$G$5:$G$87)</x:f>
        <x:v>31</x:v>
      </x:c>
      <x:c r="E13" s="12" t="n">
        <x:f>SUMIF('开发任务'!$C$5:$C$87,A13,'开发任务'!$H$5:$H$87)</x:f>
        <x:v>53</x:v>
      </x:c>
      <x:c r="F13" s="12" t="n">
        <x:f>COUNTIFS('开发任务'!$C$5:$C$87,A13,'开发任务'!$I$5:$I$87,"完成")</x:f>
        <x:v>0</x:v>
      </x:c>
      <x:c r="G13" s="30" t="n">
        <x:f>IFERROR(F13/C13,0)</x:f>
        <x:v>0</x:v>
      </x:c>
      <x:c r="H13" s="12" t="str">
        <x:v>R1.0完整交付</x:v>
      </x:c>
      <x:c r="I13" s="12" t="str">
        <x:v>全功能回归、跨平台包、备份恢复、多worker公平调度和安全门禁通过；性能结果绑定实测环境。</x:v>
      </x:c>
    </x:row>
  </x:sheetData>
  <x:mergeCells>
    <x:mergeCell ref="A1:I1"/>
    <x:mergeCell ref="A2:I2"/>
  </x:mergeCells>
  <x:conditionalFormatting sqref="G5:G13">
    <x:cfRule type="dataBar" priority="1">
      <x:dataBar>
        <x:cfvo type="min"/>
        <x:cfvo type="max"/>
        <x:color rgb="FF147D92"/>
      </x:dataBar>
      <x:extLst>
        <x:ext xmlns:x14="http://schemas.microsoft.com/office/spreadsheetml/2009/9/main" uri="{B025F937-C7B1-47D3-B67F-A62EFF666E3E}">
          <x14:id>{65E63F76-6C87-47A8-E030-5FF1BF2404BF}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b663a57916f4d2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5E63F76-6C87-47A8-E030-5FF1BF2404BF}">
            <x14:dataBar gradient="1">
              <x14:cfvo type="min"/>
              <x14:cfvo type="max"/>
              <x14:fillColor rgb="FF147D92"/>
            </x14:dataBar>
          </x14:cfRule>
          <xm:sqref>G5:G13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0" hidden="0" customWidth="1"/>
    <x:col min="4" max="4" width="28" hidden="0" customWidth="1"/>
    <x:col min="5" max="5" width="19" hidden="0" customWidth="1"/>
    <x:col min="6" max="6" width="27" hidden="0" customWidth="1"/>
    <x:col min="7" max="7" width="11" hidden="0" customWidth="1"/>
    <x:col min="8" max="8" width="11" hidden="0" customWidth="1"/>
    <x:col min="9" max="9" width="13" hidden="0" customWidth="1"/>
    <x:col min="10" max="10" width="25" hidden="0" customWidth="1"/>
    <x:col min="11" max="11" width="38" hidden="0" customWidth="1"/>
    <x:col min="12" max="12" width="40" hidden="0" customWidth="1"/>
    <x:col min="13" max="13" width="12" hidden="0" customWidth="1"/>
    <x:col min="14" max="14" width="24" hidden="0" customWidth="1"/>
  </x:cols>
  <x:sheetData>
    <x:row r="1" ht="34" customHeight="1">
      <x:c r="A1" s="3" t="str">
        <x:v>开发工作包 · 83项 · v1.1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作者自审修订：全部功能保留；6个前置/拆分包。实现均未开始，独立子Agent审核未执行。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2" customHeight="1">
      <x:c r="A4" s="19" t="str">
        <x:v>工作包</x:v>
      </x:c>
      <x:c r="B4" s="19" t="str">
        <x:v>功能ID</x:v>
      </x:c>
      <x:c r="C4" s="19" t="str">
        <x:v>里程碑</x:v>
      </x:c>
      <x:c r="D4" s="19" t="str">
        <x:v>任务名称</x:v>
      </x:c>
      <x:c r="E4" s="19" t="str">
        <x:v>负责人角色</x:v>
      </x:c>
      <x:c r="F4" s="19" t="str">
        <x:v>依赖工作包</x:v>
      </x:c>
      <x:c r="G4" s="19" t="str">
        <x:v>低估人日</x:v>
      </x:c>
      <x:c r="H4" s="19" t="str">
        <x:v>高估人日</x:v>
      </x:c>
      <x:c r="I4" s="19" t="str">
        <x:v>状态</x:v>
      </x:c>
      <x:c r="J4" s="19" t="str">
        <x:v>验收用例</x:v>
      </x:c>
      <x:c r="K4" s="19" t="str">
        <x:v>交付物</x:v>
      </x:c>
      <x:c r="L4" s="19" t="str">
        <x:v>完成条件</x:v>
      </x:c>
      <x:c r="M4" s="19" t="str">
        <x:v>实际人日</x:v>
      </x:c>
      <x:c r="N4" s="19" t="str">
        <x:v>备注</x:v>
      </x:c>
    </x:row>
    <x:row r="5" ht="100" customHeight="1">
      <x:c r="A5" s="12" t="str">
        <x:v>DEV-001</x:v>
      </x:c>
      <x:c r="B5" s="12" t="str">
        <x:v>GOV-01</x:v>
      </x:c>
      <x:c r="C5" s="12" t="str">
        <x:v>M0</x:v>
      </x:c>
      <x:c r="D5" s="12" t="str">
        <x:v>需求边界、能力目录与许可证清单</x:v>
      </x:c>
      <x:c r="E5" s="24" t="str">
        <x:v>架构/安全</x:v>
      </x:c>
      <x:c r="F5" s="12" t="str"/>
      <x:c r="G5" s="26" t="n">
        <x:v>3</x:v>
      </x:c>
      <x:c r="H5" s="26" t="n">
        <x:v>5</x:v>
      </x:c>
      <x:c r="I5" s="24" t="str">
        <x:v>未开始</x:v>
      </x:c>
      <x:c r="J5" s="12" t="str">
        <x:v>FT-001, C-16</x:v>
      </x:c>
      <x:c r="K5" s="12" t="str">
        <x:v>版本化需求、能力清单、ADR、依赖和许可记录</x:v>
      </x:c>
      <x:c r="L5" s="12" t="str">
        <x:v>无参考产品运行依赖；未实现能力不对外宣告；依赖记录包含版本/来源/许可/替换策略。 审核状态与实现状态独立；外部审查报告须能对应输入版本、reviewer_id与实际工具运行，不可凭角色提示词伪造。</x:v>
      </x:c>
      <x:c r="M5" s="28"/>
      <x:c r="N5" s="24" t="str">
        <x:v>复核修订：RV-16；独立审核未执行</x:v>
      </x:c>
    </x:row>
    <x:row r="6" ht="100" customHeight="1">
      <x:c r="A6" s="12" t="str">
        <x:v>DEV-002</x:v>
      </x:c>
      <x:c r="B6" s="12" t="str">
        <x:v>CORE-01</x:v>
      </x:c>
      <x:c r="C6" s="12" t="str">
        <x:v>M0</x:v>
      </x:c>
      <x:c r="D6" s="12" t="str">
        <x:v>C++工程骨架与跨平台构建</x:v>
      </x:c>
      <x:c r="E6" s="24" t="str">
        <x:v>核心平台</x:v>
      </x:c>
      <x:c r="F6" s="12" t="str">
        <x:v>DEV-001</x:v>
      </x:c>
      <x:c r="G6" s="26" t="n">
        <x:v>5</x:v>
      </x:c>
      <x:c r="H6" s="26" t="n">
        <x:v>9</x:v>
      </x:c>
      <x:c r="I6" s="24" t="str">
        <x:v>未开始</x:v>
      </x:c>
      <x:c r="J6" s="12" t="str">
        <x:v>FT-002</x:v>
      </x:c>
      <x:c r="K6" s="12" t="str">
        <x:v>CMake工程、CLI/API空壳、Linux/Windows CI</x:v>
      </x:c>
      <x:c r="L6" s="12" t="str">
        <x:v>Linux与Windows构建通过；核心不依赖浏览器存在；纯逻辑测试无外网。</x:v>
      </x:c>
      <x:c r="M6" s="28"/>
      <x:c r="N6" s="24" t="str">
        <x:v>保留原范围；独立审核未执行</x:v>
      </x:c>
    </x:row>
    <x:row r="7" ht="100" customHeight="1">
      <x:c r="A7" s="12" t="str">
        <x:v>DEV-003</x:v>
      </x:c>
      <x:c r="B7" s="12" t="str">
        <x:v>CONTRACT-01</x:v>
      </x:c>
      <x:c r="C7" s="12" t="str">
        <x:v>M0</x:v>
      </x:c>
      <x:c r="D7" s="12" t="str">
        <x:v>数据合同与错误/取消协议</x:v>
      </x:c>
      <x:c r="E7" s="24" t="str">
        <x:v>架构/核心</x:v>
      </x:c>
      <x:c r="F7" s="12" t="str">
        <x:v>DEV-002</x:v>
      </x:c>
      <x:c r="G7" s="26" t="n">
        <x:v>4</x:v>
      </x:c>
      <x:c r="H7" s="26" t="n">
        <x:v>7</x:v>
      </x:c>
      <x:c r="I7" s="24" t="str">
        <x:v>未开始</x:v>
      </x:c>
      <x:c r="J7" s="12" t="str">
        <x:v>FT-003</x:v>
      </x:c>
      <x:c r="K7" s="12" t="str">
        <x:v>JSON Schema、接口DTO、错误码、版本协商</x:v>
      </x:c>
      <x:c r="L7" s="12" t="str">
        <x:v>合法/非法样例双向验证；字段未知、参数冲突、能力缺失有稳定错误；不把资源ID当授权。</x:v>
      </x:c>
      <x:c r="M7" s="28"/>
      <x:c r="N7" s="24" t="str">
        <x:v>保留原范围；独立审核未执行</x:v>
      </x:c>
    </x:row>
    <x:row r="8" ht="100" customHeight="1">
      <x:c r="A8" s="12" t="str">
        <x:v>DEV-004</x:v>
      </x:c>
      <x:c r="B8" s="12" t="str">
        <x:v>SEC-01</x:v>
      </x:c>
      <x:c r="C8" s="12" t="str">
        <x:v>M0</x:v>
      </x:c>
      <x:c r="D8" s="12" t="str">
        <x:v>网络与执行隔离</x:v>
      </x:c>
      <x:c r="E8" s="24" t="str">
        <x:v>安全/平台</x:v>
      </x:c>
      <x:c r="F8" s="12" t="str">
        <x:v>DEV-003</x:v>
      </x:c>
      <x:c r="G8" s="26" t="n">
        <x:v>7</x:v>
      </x:c>
      <x:c r="H8" s="26" t="n">
        <x:v>12</x:v>
      </x:c>
      <x:c r="I8" s="24" t="str">
        <x:v>未开始</x:v>
      </x:c>
      <x:c r="J8" s="12" t="str">
        <x:v>FT-004, B-19</x:v>
      </x:c>
      <x:c r="K8" s="12" t="str">
        <x:v>允许/阻断决策、隔离运行环境</x:v>
      </x:c>
      <x:c r="L8" s="12" t="str">
        <x:v>IPv4/IPv6、重绑定、重定向、子资源、WebSocket/QUIC旁路样例被拒；模型内网白名单不开放给网页。</x:v>
      </x:c>
      <x:c r="M8" s="28"/>
      <x:c r="N8" s="24" t="str">
        <x:v>保留原范围；独立审核未执行</x:v>
      </x:c>
    </x:row>
    <x:row r="9" ht="100" customHeight="1">
      <x:c r="A9" s="12" t="str">
        <x:v>DEV-005</x:v>
      </x:c>
      <x:c r="B9" s="12" t="str">
        <x:v>JOB-01</x:v>
      </x:c>
      <x:c r="C9" s="12" t="str">
        <x:v>M0</x:v>
      </x:c>
      <x:c r="D9" s="12" t="str">
        <x:v>持久任务、预算与恢复</x:v>
      </x:c>
      <x:c r="E9" s="24" t="str">
        <x:v>核心平台</x:v>
      </x:c>
      <x:c r="F9" s="12" t="str">
        <x:v>DEV-003, DEV-006, DEV-007, DEV-008</x:v>
      </x:c>
      <x:c r="G9" s="26" t="n">
        <x:v>9</x:v>
      </x:c>
      <x:c r="H9" s="26" t="n">
        <x:v>16</x:v>
      </x:c>
      <x:c r="I9" s="24" t="str">
        <x:v>未开始</x:v>
      </x:c>
      <x:c r="J9" s="12" t="str">
        <x:v>FT-005, B-28, B-39, C-13, C-15</x:v>
      </x:c>
      <x:c r="K9" s="12" t="str">
        <x:v>Job、检查点、租约、进度和停止原因</x:v>
      </x:c>
      <x:c r="L9" s="12" t="str">
        <x:v>崩溃恢复不重复发布产物；旧租约不能提交；重試占预算；取消后无新派发；不承诺网络恰好一次。 旧epoch提交被拒；取消后无新派发；暂停/重启后预算账本可对账且失败不退成免费请求。</x:v>
      </x:c>
      <x:c r="M9" s="28"/>
      <x:c r="N9" s="24" t="str">
        <x:v>复核修订：RV-13, RV-15；独立审核未执行</x:v>
      </x:c>
    </x:row>
    <x:row r="10" ht="100" customHeight="1">
      <x:c r="A10" s="12" t="str">
        <x:v>DEV-006</x:v>
      </x:c>
      <x:c r="B10" s="12" t="str">
        <x:v>STORE-01</x:v>
      </x:c>
      <x:c r="C10" s="12" t="str">
        <x:v>M0</x:v>
      </x:c>
      <x:c r="D10" s="12" t="str">
        <x:v>内容快照、结构块与证据基础存储</x:v>
      </x:c>
      <x:c r="E10" s="24" t="str">
        <x:v>存储/检索</x:v>
      </x:c>
      <x:c r="F10" s="12" t="str">
        <x:v>DEV-003</x:v>
      </x:c>
      <x:c r="G10" s="26" t="n">
        <x:v>7</x:v>
      </x:c>
      <x:c r="H10" s="26" t="n">
        <x:v>12</x:v>
      </x:c>
      <x:c r="I10" s="24" t="str">
        <x:v>未开始</x:v>
      </x:c>
      <x:c r="J10" s="12" t="str">
        <x:v>FT-006, C-15</x:v>
      </x:c>
      <x:c r="K10" s="12" t="str">
        <x:v>Document/Snapshot/Extraction/Block</x:v>
      </x:c>
      <x:c r="L10" s="12" t="str">
        <x:v>同URL更新不覆盖旧快照；Unicode字节定位一致；未提交blob不进入结果；无跨用户去重侧信道。 并发抓取遇磁盘满应回压而不是无限重试；GC与提交竞争无丢失已引用blob；拒绝超额后账本可恢复。</x:v>
      </x:c>
      <x:c r="M10" s="28"/>
      <x:c r="N10" s="24" t="str">
        <x:v>复核修订：RV-15；独立审核未执行</x:v>
      </x:c>
    </x:row>
    <x:row r="11" ht="100" customHeight="1">
      <x:c r="A11" s="12" t="str">
        <x:v>DEV-007</x:v>
      </x:c>
      <x:c r="B11" s="12" t="str">
        <x:v>AUTH-01</x:v>
      </x:c>
      <x:c r="C11" s="12" t="str">
        <x:v>M0</x:v>
      </x:c>
      <x:c r="D11" s="12" t="str">
        <x:v>认证、授权、私有内容与删除策略</x:v>
      </x:c>
      <x:c r="E11" s="24" t="str">
        <x:v>安全/平台</x:v>
      </x:c>
      <x:c r="F11" s="12" t="str">
        <x:v>DEV-006</x:v>
      </x:c>
      <x:c r="G11" s="26" t="n">
        <x:v>6</x:v>
      </x:c>
      <x:c r="H11" s="26" t="n">
        <x:v>10</x:v>
      </x:c>
      <x:c r="I11" s="24" t="str">
        <x:v>未开始</x:v>
      </x:c>
      <x:c r="J11" s="12" t="str">
        <x:v>FT-007, B-15, B-26, C-11</x:v>
      </x:c>
      <x:c r="K11" s="12" t="str">
        <x:v>权限决策、tombstone、审计</x:v>
      </x:c>
      <x:c r="L11" s="12" t="str">
        <x:v>撤权后旧游标/证据/聚合计数均不可泄露；删除状态可追踪；历史备份恢复也重放删除日志。 撤销在本系统新发布入口同步生效；恢复时无法确认最新撤销水位则保持隔离。</x:v>
      </x:c>
      <x:c r="M11" s="28"/>
      <x:c r="N11" s="24" t="str">
        <x:v>复核修订：RV-11；独立审核未执行</x:v>
      </x:c>
    </x:row>
    <x:row r="12" ht="100" customHeight="1">
      <x:c r="A12" s="12" t="str">
        <x:v>DEV-008</x:v>
      </x:c>
      <x:c r="B12" s="12" t="str">
        <x:v>QA-01</x:v>
      </x:c>
      <x:c r="C12" s="12" t="str">
        <x:v>M0</x:v>
      </x:c>
      <x:c r="D12" s="12" t="str">
        <x:v>固定样本、模拟来源与回放测试底座</x:v>
      </x:c>
      <x:c r="E12" s="24" t="str">
        <x:v>测试/质量</x:v>
      </x:c>
      <x:c r="F12" s="12" t="str">
        <x:v>DEV-003</x:v>
      </x:c>
      <x:c r="G12" s="26" t="n">
        <x:v>5</x:v>
      </x:c>
      <x:c r="H12" s="26" t="n">
        <x:v>8</x:v>
      </x:c>
      <x:c r="I12" s="24" t="str">
        <x:v>未开始</x:v>
      </x:c>
      <x:c r="J12" s="12" t="str">
        <x:v>FT-008</x:v>
      </x:c>
      <x:c r="K12" s="12" t="str">
        <x:v>fixture、分层测试集、报告格式</x:v>
      </x:c>
      <x:c r="L12" s="12" t="str">
        <x:v>测试不依赖实时外网才可通过；测试集版本冻结；真实用户数据不进入公共fixture。</x:v>
      </x:c>
      <x:c r="M12" s="28"/>
      <x:c r="N12" s="24" t="str">
        <x:v>保留原范围；独立审核未执行</x:v>
      </x:c>
    </x:row>
    <x:row r="13" ht="100" customHeight="1">
      <x:c r="A13" s="12" t="str">
        <x:v>DEV-009</x:v>
      </x:c>
      <x:c r="B13" s="12" t="str">
        <x:v>SRC-01</x:v>
      </x:c>
      <x:c r="C13" s="12" t="str">
        <x:v>M1</x:v>
      </x:c>
      <x:c r="D13" s="12" t="str">
        <x:v>免费入口审核与来源注册</x:v>
      </x:c>
      <x:c r="E13" s="24" t="str">
        <x:v>搜索适配</x:v>
      </x:c>
      <x:c r="F13" s="12" t="str">
        <x:v>DEV-001, DEV-083</x:v>
      </x:c>
      <x:c r="G13" s="26" t="n">
        <x:v>5</x:v>
      </x:c>
      <x:c r="H13" s="26" t="n">
        <x:v>9</x:v>
      </x:c>
      <x:c r="I13" s="24" t="str">
        <x:v>未开始</x:v>
      </x:c>
      <x:c r="J13" s="12" t="str">
        <x:v>FT-009, B-08, C-06</x:v>
      </x:c>
      <x:c r="K13" s="12" t="str">
        <x:v>SourceManifest、review_state、核验日期</x:v>
      </x:c>
      <x:c r="L13" s="12" t="str">
        <x:v>免费状态与可用状态分开；条款变更立即停用；没有付费备用路径。</x:v>
      </x:c>
      <x:c r="M13" s="28"/>
      <x:c r="N13" s="24" t="str">
        <x:v>复核修订：RV-06；独立审核未执行</x:v>
      </x:c>
    </x:row>
    <x:row r="14" ht="100" customHeight="1">
      <x:c r="A14" s="12" t="str">
        <x:v>DEV-010</x:v>
      </x:c>
      <x:c r="B14" s="12" t="str">
        <x:v>SRC-02</x:v>
      </x:c>
      <x:c r="C14" s="12" t="str">
        <x:v>M1</x:v>
      </x:c>
      <x:c r="D14" s="12" t="str">
        <x:v>健康检查、限流、退避与共享配额</x:v>
      </x:c>
      <x:c r="E14" s="24" t="str">
        <x:v>搜索适配</x:v>
      </x:c>
      <x:c r="F14" s="12" t="str">
        <x:v>DEV-009, DEV-005</x:v>
      </x:c>
      <x:c r="G14" s="26" t="n">
        <x:v>4</x:v>
      </x:c>
      <x:c r="H14" s="26" t="n">
        <x:v>7</x:v>
      </x:c>
      <x:c r="I14" s="24" t="str">
        <x:v>未开始</x:v>
      </x:c>
      <x:c r="J14" s="12" t="str">
        <x:v>FT-010, B-18</x:v>
      </x:c>
      <x:c r="K14" s="12" t="str">
        <x:v>健康报告、冷却、统一限流</x:v>
      </x:c>
      <x:c r="L14" s="12" t="str">
        <x:v>两适配器不绕过同源限流；限流不会触发无限重试；源禁用即时阻止后续请求。</x:v>
      </x:c>
      <x:c r="M14" s="28"/>
      <x:c r="N14" s="24" t="str">
        <x:v>保留原范围；独立审核未执行</x:v>
      </x:c>
    </x:row>
    <x:row r="15" ht="100" customHeight="1">
      <x:c r="A15" s="12" t="str">
        <x:v>DEV-011</x:v>
      </x:c>
      <x:c r="B15" s="12" t="str">
        <x:v>SRC-03</x:v>
      </x:c>
      <x:c r="C15" s="12" t="str">
        <x:v>M1</x:v>
      </x:c>
      <x:c r="D15" s="12" t="str">
        <x:v>来源能力协商与参数翻译</x:v>
      </x:c>
      <x:c r="E15" s="24" t="str">
        <x:v>搜索适配</x:v>
      </x:c>
      <x:c r="F15" s="12" t="str">
        <x:v>DEV-009, DEV-003</x:v>
      </x:c>
      <x:c r="G15" s="26" t="n">
        <x:v>4</x:v>
      </x:c>
      <x:c r="H15" s="26" t="n">
        <x:v>7</x:v>
      </x:c>
      <x:c r="I15" s="24" t="str">
        <x:v>未开始</x:v>
      </x:c>
      <x:c r="J15" s="12" t="str">
        <x:v>FT-011, B-04</x:v>
      </x:c>
      <x:c r="K15" s="12" t="str">
        <x:v>native/emulated/unsupported执行计划</x:v>
      </x:c>
      <x:c r="L15" s="12" t="str">
        <x:v>不支持条件不静默丢弃；native只是执行位置，不等于结果已经满足。</x:v>
      </x:c>
      <x:c r="M15" s="28"/>
      <x:c r="N15" s="24" t="str">
        <x:v>保留原范围；独立审核未执行</x:v>
      </x:c>
    </x:row>
    <x:row r="16" ht="100" customHeight="1">
      <x:c r="A16" s="12" t="str">
        <x:v>DEV-012</x:v>
      </x:c>
      <x:c r="B16" s="12" t="str">
        <x:v>SRC-04</x:v>
      </x:c>
      <x:c r="C16" s="12" t="str">
        <x:v>M1</x:v>
      </x:c>
      <x:c r="D16" s="12" t="str">
        <x:v>免费底层来源并集清点与首批适配</x:v>
      </x:c>
      <x:c r="E16" s="24" t="str">
        <x:v>搜索适配</x:v>
      </x:c>
      <x:c r="F16" s="12" t="str">
        <x:v>DEV-010, DEV-011, DEV-004, DEV-008, DEV-013</x:v>
      </x:c>
      <x:c r="G16" s="26" t="n">
        <x:v>11</x:v>
      </x:c>
      <x:c r="H16" s="26" t="n">
        <x:v>20</x:v>
      </x:c>
      <x:c r="I16" s="24" t="str">
        <x:v>未开始</x:v>
      </x:c>
      <x:c r="J16" s="12" t="str">
        <x:v>FT-012, C-10</x:v>
      </x:c>
      <x:c r="K16" s="12" t="str">
        <x:v>底层来源差异表、首批3–5个已审核适配器</x:v>
      </x:c>
      <x:c r="L16" s="12" t="str">
        <x:v>未知是否共用索引不猜测；首批至少有可用外部来源并跨类别；不能审核的候选明确排除。 报告具体入口、许可证据、日期、查询样本、限流与独有结果；无源时明确E_CAPABILITY_UNAVAILABLE，不删减长期功能承诺。</x:v>
      </x:c>
      <x:c r="M16" s="28"/>
      <x:c r="N16" s="24" t="str">
        <x:v>复核修订：RV-10；独立审核未执行</x:v>
      </x:c>
    </x:row>
    <x:row r="17" ht="100" customHeight="1">
      <x:c r="A17" s="12" t="str">
        <x:v>DEV-013</x:v>
      </x:c>
      <x:c r="B17" s="12" t="str">
        <x:v>QRY-01</x:v>
      </x:c>
      <x:c r="C17" s="12" t="str">
        <x:v>M1</x:v>
      </x:c>
      <x:c r="D17" s="12" t="str">
        <x:v>统一查询语法与AST</x:v>
      </x:c>
      <x:c r="E17" s="24" t="str">
        <x:v>检索核心</x:v>
      </x:c>
      <x:c r="F17" s="12" t="str">
        <x:v>DEV-003</x:v>
      </x:c>
      <x:c r="G17" s="26" t="n">
        <x:v>5</x:v>
      </x:c>
      <x:c r="H17" s="26" t="n">
        <x:v>9</x:v>
      </x:c>
      <x:c r="I17" s="24" t="str">
        <x:v>未开始</x:v>
      </x:c>
      <x:c r="J17" s="12" t="str">
        <x:v>FT-013, B-01, C-05</x:v>
      </x:c>
      <x:c r="K17" s="12" t="str">
        <x:v>QueryAST、规范显示、解析警告</x:v>
      </x:c>
      <x:c r="L17" s="12" t="str">
        <x:v>语法优先级明确；字符串与结构化请求等价；注入/超深嵌套拒绝；不直接拼SQL/FTS字符串。 错误日期、host配after、数组配eq、非host使用host匹配、深AST在执行来源前拒绝。</x:v>
      </x:c>
      <x:c r="M17" s="28"/>
      <x:c r="N17" s="24" t="str">
        <x:v>复核修订：RV-05；独立审核未执行</x:v>
      </x:c>
    </x:row>
    <x:row r="18" ht="100" customHeight="1">
      <x:c r="A18" s="12" t="str">
        <x:v>DEV-014</x:v>
      </x:c>
      <x:c r="B18" s="12" t="str">
        <x:v>QRY-02</x:v>
      </x:c>
      <x:c r="C18" s="12" t="str">
        <x:v>M1</x:v>
      </x:c>
      <x:c r="D18" s="12" t="str">
        <x:v>精确字面与标识符匹配</x:v>
      </x:c>
      <x:c r="E18" s="24" t="str">
        <x:v>检索核心</x:v>
      </x:c>
      <x:c r="F18" s="12" t="str">
        <x:v>DEV-013</x:v>
      </x:c>
      <x:c r="G18" s="26" t="n">
        <x:v>4</x:v>
      </x:c>
      <x:c r="H18" s="26" t="n">
        <x:v>7</x:v>
      </x:c>
      <x:c r="I18" s="24" t="str">
        <x:v>未开始</x:v>
      </x:c>
      <x:c r="J18" s="12" t="str">
        <x:v>FT-014, B-02</x:v>
      </x:c>
      <x:c r="K18" s="12" t="str">
        <x:v>保留大小写/标点策略与匹配谓词</x:v>
      </x:c>
      <x:c r="L18" s="12" t="str">
        <x:v>C++/C#/std::expected/HTTP 429样例保持区别；精确条件在候选核验前不得标满足。</x:v>
      </x:c>
      <x:c r="M18" s="28"/>
      <x:c r="N18" s="24" t="str">
        <x:v>保留原范围；独立审核未执行</x:v>
      </x:c>
    </x:row>
    <x:row r="19" ht="100" customHeight="1">
      <x:c r="A19" s="12" t="str">
        <x:v>DEV-015</x:v>
      </x:c>
      <x:c r="B19" s="12" t="str">
        <x:v>SEARCH-01</x:v>
      </x:c>
      <x:c r="C19" s="12" t="str">
        <x:v>M1</x:v>
      </x:c>
      <x:c r="D19" s="12" t="str">
        <x:v>多源并发搜索与部分结果</x:v>
      </x:c>
      <x:c r="E19" s="24" t="str">
        <x:v>检索核心</x:v>
      </x:c>
      <x:c r="F19" s="12" t="str">
        <x:v>DEV-012, DEV-013, DEV-014, DEV-005, DEV-007, DEV-083</x:v>
      </x:c>
      <x:c r="G19" s="26" t="n">
        <x:v>6</x:v>
      </x:c>
      <x:c r="H19" s="26" t="n">
        <x:v>10</x:v>
      </x:c>
      <x:c r="I19" s="24" t="str">
        <x:v>未开始</x:v>
      </x:c>
      <x:c r="J19" s="12" t="str">
        <x:v>FT-015, C-13</x:v>
      </x:c>
      <x:c r="K19" s="12" t="str">
        <x:v>候选、来源报告、coverage</x:v>
      </x:c>
      <x:c r="L19" s="12" t="str">
        <x:v>单源超时不吞其他结果；不伪造全网数量；未完成源显示未完成。</x:v>
      </x:c>
      <x:c r="M19" s="28"/>
      <x:c r="N19" s="24" t="str">
        <x:v>复核修订：RV-13；独立审核未执行</x:v>
      </x:c>
    </x:row>
    <x:row r="20" ht="100" customHeight="1">
      <x:c r="A20" s="12" t="str">
        <x:v>DEV-016</x:v>
      </x:c>
      <x:c r="B20" s="12" t="str">
        <x:v>SEARCH-03</x:v>
      </x:c>
      <x:c r="C20" s="12" t="str">
        <x:v>M1</x:v>
      </x:c>
      <x:c r="D20" s="12" t="str">
        <x:v>来源去重、内容身份与基础融合</x:v>
      </x:c>
      <x:c r="E20" s="24" t="str">
        <x:v>检索核心</x:v>
      </x:c>
      <x:c r="F20" s="12" t="str">
        <x:v>DEV-015</x:v>
      </x:c>
      <x:c r="G20" s="26" t="n">
        <x:v>5</x:v>
      </x:c>
      <x:c r="H20" s="26" t="n">
        <x:v>9</x:v>
      </x:c>
      <x:c r="I20" s="24" t="str">
        <x:v>未开始</x:v>
      </x:c>
      <x:c r="J20" s="12" t="str">
        <x:v>FT-016, B-08, C-07</x:v>
      </x:c>
      <x:c r="K20" s="12" t="str">
        <x:v>重复组、合并记录、基础排名</x:v>
      </x:c>
      <x:c r="L20" s="12" t="str">
        <x:v>同底层源多实现不重复加权；不同文档版本/语种不盲删；保留发现路径。 两个不同未知族服务仍有各自候选贡献；同provider多adapter不会加票；未知族不计为已证实独立证据。</x:v>
      </x:c>
      <x:c r="M20" s="28"/>
      <x:c r="N20" s="24" t="str">
        <x:v>复核修订：RV-07；独立审核未执行</x:v>
      </x:c>
    </x:row>
    <x:row r="21" ht="100" customHeight="1">
      <x:c r="A21" s="12" t="str">
        <x:v>DEV-017</x:v>
      </x:c>
      <x:c r="B21" s="12" t="str">
        <x:v>SESSION-01</x:v>
      </x:c>
      <x:c r="C21" s="12" t="str">
        <x:v>M1</x:v>
      </x:c>
      <x:c r="D21" s="12" t="str">
        <x:v>搜索会话、冻结结果与稳定游标</x:v>
      </x:c>
      <x:c r="E21" s="24" t="str">
        <x:v>检索核心</x:v>
      </x:c>
      <x:c r="F21" s="12" t="str">
        <x:v>DEV-016, DEV-007, DEV-006</x:v>
      </x:c>
      <x:c r="G21" s="26" t="n">
        <x:v>6</x:v>
      </x:c>
      <x:c r="H21" s="26" t="n">
        <x:v>10</x:v>
      </x:c>
      <x:c r="I21" s="24" t="str">
        <x:v>未开始</x:v>
      </x:c>
      <x:c r="J21" s="12" t="str">
        <x:v>FT-017, B-13, B-15</x:v>
      </x:c>
      <x:c r="K21" s="12" t="str">
        <x:v>SearchSession、ResultSet、游标</x:v>
      </x:c>
      <x:c r="L21" s="12" t="str">
        <x:v>无跨页重复或静默重排；权限收紧时失效重建而非泄漏；游标过期需重搜。</x:v>
      </x:c>
      <x:c r="M21" s="28"/>
      <x:c r="N21" s="24" t="str">
        <x:v>保留原范围；独立审核未执行</x:v>
      </x:c>
    </x:row>
    <x:row r="22" ht="100" customHeight="1">
      <x:c r="A22" s="12" t="str">
        <x:v>DEV-018</x:v>
      </x:c>
      <x:c r="B22" s="12" t="str">
        <x:v>SESSION-02</x:v>
      </x:c>
      <x:c r="C22" s="12" t="str">
        <x:v>M1</x:v>
      </x:c>
      <x:c r="D22" s="12" t="str">
        <x:v>流式结果、断线续传与取消</x:v>
      </x:c>
      <x:c r="E22" s="24" t="str">
        <x:v>API/UI</x:v>
      </x:c>
      <x:c r="F22" s="12" t="str">
        <x:v>DEV-017, DEV-005</x:v>
      </x:c>
      <x:c r="G22" s="26" t="n">
        <x:v>4</x:v>
      </x:c>
      <x:c r="H22" s="26" t="n">
        <x:v>7</x:v>
      </x:c>
      <x:c r="I22" s="24" t="str">
        <x:v>未开始</x:v>
      </x:c>
      <x:c r="J22" s="12" t="str">
        <x:v>FT-018, B-14</x:v>
      </x:c>
      <x:c r="K22" s="12" t="str">
        <x:v>带单调序号SSE事件</x:v>
      </x:c>
      <x:c r="L22" s="12" t="str">
        <x:v>断线重播按event_id去重；客户端慢不耗尽内存；停止搜索保留已完成结果。</x:v>
      </x:c>
      <x:c r="M22" s="28"/>
      <x:c r="N22" s="24" t="str">
        <x:v>保留原范围；独立审核未执行</x:v>
      </x:c>
    </x:row>
    <x:row r="23" ht="100" customHeight="1">
      <x:c r="A23" s="12" t="str">
        <x:v>DEV-019</x:v>
      </x:c>
      <x:c r="B23" s="12" t="str">
        <x:v>MODE-01</x:v>
      </x:c>
      <x:c r="C23" s="12" t="str">
        <x:v>M1</x:v>
      </x:c>
      <x:c r="D23" s="12" t="str">
        <x:v>快速/均衡/深入执行预设</x:v>
      </x:c>
      <x:c r="E23" s="24" t="str">
        <x:v>检索核心</x:v>
      </x:c>
      <x:c r="F23" s="12" t="str">
        <x:v>DEV-015, DEV-010</x:v>
      </x:c>
      <x:c r="G23" s="26" t="n">
        <x:v>3</x:v>
      </x:c>
      <x:c r="H23" s="26" t="n">
        <x:v>5</x:v>
      </x:c>
      <x:c r="I23" s="24" t="str">
        <x:v>未开始</x:v>
      </x:c>
      <x:c r="J23" s="12" t="str">
        <x:v>FT-019</x:v>
      </x:c>
      <x:c r="K23" s="12" t="str">
        <x:v>可查看的来源/读取/模型调用上限</x:v>
      </x:c>
      <x:c r="L23" s="12" t="str">
        <x:v>快速模式不强制浏览器或模型；任一预设都受同源额度与硬约束限制。</x:v>
      </x:c>
      <x:c r="M23" s="28"/>
      <x:c r="N23" s="24" t="str">
        <x:v>保留原范围；独立审核未执行</x:v>
      </x:c>
    </x:row>
    <x:row r="24" ht="100" customHeight="1">
      <x:c r="A24" s="12" t="str">
        <x:v>DEV-020</x:v>
      </x:c>
      <x:c r="B24" s="12" t="str">
        <x:v>UI-01</x:v>
      </x:c>
      <x:c r="C24" s="12" t="str">
        <x:v>M1</x:v>
      </x:c>
      <x:c r="D24" s="12" t="str">
        <x:v>最小搜索、读取与任务界面</x:v>
      </x:c>
      <x:c r="E24" s="24" t="str">
        <x:v>API/UI</x:v>
      </x:c>
      <x:c r="F24" s="12" t="str">
        <x:v>DEV-018, DEV-002, DEV-078</x:v>
      </x:c>
      <x:c r="G24" s="26" t="n">
        <x:v>6</x:v>
      </x:c>
      <x:c r="H24" s="26" t="n">
        <x:v>10</x:v>
      </x:c>
      <x:c r="I24" s="24" t="str">
        <x:v>未开始</x:v>
      </x:c>
      <x:c r="J24" s="12" t="str">
        <x:v>FT-020, C-01</x:v>
      </x:c>
      <x:c r="K24" s="12" t="str">
        <x:v>基础Web UI、错误展示、来源开关</x:v>
      </x:c>
      <x:c r="L24" s="12" t="str">
        <x:v>不加载第三方统计或外链字体；未实现按钮隐藏；所有操作仍经统一授权接口。</x:v>
      </x:c>
      <x:c r="M24" s="28"/>
      <x:c r="N24" s="24" t="str">
        <x:v>复核修订：RV-01；独立审核未执行</x:v>
      </x:c>
    </x:row>
    <x:row r="25" ht="100" customHeight="1">
      <x:c r="A25" s="12" t="str">
        <x:v>DEV-021</x:v>
      </x:c>
      <x:c r="B25" s="12" t="str">
        <x:v>READ-01</x:v>
      </x:c>
      <x:c r="C25" s="12" t="str">
        <x:v>M2</x:v>
      </x:c>
      <x:c r="D25" s="12" t="str">
        <x:v>HTTP读取与质量状态</x:v>
      </x:c>
      <x:c r="E25" s="24" t="str">
        <x:v>采集/解析</x:v>
      </x:c>
      <x:c r="F25" s="12" t="str">
        <x:v>DEV-004, DEV-005, DEV-006, DEV-007, DEV-079</x:v>
      </x:c>
      <x:c r="G25" s="26" t="n">
        <x:v>6</x:v>
      </x:c>
      <x:c r="H25" s="26" t="n">
        <x:v>10</x:v>
      </x:c>
      <x:c r="I25" s="24" t="str">
        <x:v>未开始</x:v>
      </x:c>
      <x:c r="J25" s="12" t="str">
        <x:v>FT-021, B-20</x:v>
      </x:c>
      <x:c r="K25" s="12" t="str">
        <x:v>FetchArtifact、状态与最终URL</x:v>
      </x:c>
      <x:c r="L25" s="12" t="str">
        <x:v>HTTP200登录页不等于正文成功；断流保留部分状态；不自动使用代理或收费后端。</x:v>
      </x:c>
      <x:c r="M25" s="28"/>
      <x:c r="N25" s="24" t="str">
        <x:v>保留原范围；独立审核未执行</x:v>
      </x:c>
    </x:row>
    <x:row r="26" ht="100" customHeight="1">
      <x:c r="A26" s="12" t="str">
        <x:v>DEV-022</x:v>
      </x:c>
      <x:c r="B26" s="12" t="str">
        <x:v>READ-02</x:v>
      </x:c>
      <x:c r="C26" s="12" t="str">
        <x:v>M2</x:v>
      </x:c>
      <x:c r="D26" s="12" t="str">
        <x:v>动态网页与受控浏览器动作</x:v>
      </x:c>
      <x:c r="E26" s="24" t="str">
        <x:v>采集/解析</x:v>
      </x:c>
      <x:c r="F26" s="12" t="str">
        <x:v>DEV-021, DEV-004, DEV-082</x:v>
      </x:c>
      <x:c r="G26" s="26" t="n">
        <x:v>9</x:v>
      </x:c>
      <x:c r="H26" s="26" t="n">
        <x:v>16</x:v>
      </x:c>
      <x:c r="I26" s="24" t="str">
        <x:v>未开始</x:v>
      </x:c>
      <x:c r="J26" s="12" t="str">
        <x:v>FT-022, B-19, C-09</x:v>
      </x:c>
      <x:c r="K26" s="12" t="str">
        <x:v>DOM、可选截图、渲染证据</x:v>
      </x:c>
      <x:c r="L26" s="12" t="str">
        <x:v>延迟渲染成功或明确失败；浏览器无出口绕过；auth状态隔离；禁止用无限等待充当页面就绪。</x:v>
      </x:c>
      <x:c r="M26" s="28"/>
      <x:c r="N26" s="24" t="str">
        <x:v>复核修订：RV-09；独立审核未执行</x:v>
      </x:c>
    </x:row>
    <x:row r="27" ht="100" customHeight="1">
      <x:c r="A27" s="12" t="str">
        <x:v>DEV-023</x:v>
      </x:c>
      <x:c r="B27" s="12" t="str">
        <x:v>READ-03</x:v>
      </x:c>
      <x:c r="C27" s="12" t="str">
        <x:v>M2</x:v>
      </x:c>
      <x:c r="D27" s="12" t="str">
        <x:v>正文、代码、表格与元数据提取</x:v>
      </x:c>
      <x:c r="E27" s="24" t="str">
        <x:v>采集/解析</x:v>
      </x:c>
      <x:c r="F27" s="12" t="str">
        <x:v>DEV-021, DEV-006</x:v>
      </x:c>
      <x:c r="G27" s="26" t="n">
        <x:v>8</x:v>
      </x:c>
      <x:c r="H27" s="26" t="n">
        <x:v>14</x:v>
      </x:c>
      <x:c r="I27" s="24" t="str">
        <x:v>未开始</x:v>
      </x:c>
      <x:c r="J27" s="12" t="str">
        <x:v>FT-023</x:v>
      </x:c>
      <x:c r="K27" s="12" t="str">
        <x:v>正文块、Markdown、链接、JSON-LD元数据</x:v>
      </x:c>
      <x:c r="L27" s="12" t="str">
        <x:v>正文质量分类型评测；发布时间未知为null；规则版本改变新建Extraction；片段位置可追溯。</x:v>
      </x:c>
      <x:c r="M27" s="28"/>
      <x:c r="N27" s="24" t="str">
        <x:v>保留原范围；独立审核未执行</x:v>
      </x:c>
    </x:row>
    <x:row r="28" ht="100" customHeight="1">
      <x:c r="A28" s="12" t="str">
        <x:v>DEV-024</x:v>
      </x:c>
      <x:c r="B28" s="12" t="str">
        <x:v>READ-05</x:v>
      </x:c>
      <x:c r="C28" s="12" t="str">
        <x:v>M2</x:v>
      </x:c>
      <x:c r="D28" s="12" t="str">
        <x:v>授权会话与站点读取配置</x:v>
      </x:c>
      <x:c r="E28" s="24" t="str">
        <x:v>安全/采集</x:v>
      </x:c>
      <x:c r="F28" s="12" t="str">
        <x:v>DEV-022, DEV-007</x:v>
      </x:c>
      <x:c r="G28" s="26" t="n">
        <x:v>4</x:v>
      </x:c>
      <x:c r="H28" s="26" t="n">
        <x:v>7</x:v>
      </x:c>
      <x:c r="I28" s="24" t="str">
        <x:v>未开始</x:v>
      </x:c>
      <x:c r="J28" s="12" t="str">
        <x:v>FT-024</x:v>
      </x:c>
      <x:c r="K28" s="12" t="str">
        <x:v>隔离会话、过期状态</x:v>
      </x:c>
      <x:c r="L28" s="12" t="str">
        <x:v>两用户同URL不混Cookie；凭据删除立即停止后续调用；日志不含Cookie与密钥。</x:v>
      </x:c>
      <x:c r="M28" s="28"/>
      <x:c r="N28" s="24" t="str">
        <x:v>保留原范围；独立审核未执行</x:v>
      </x:c>
    </x:row>
    <x:row r="29" ht="100" customHeight="1">
      <x:c r="A29" s="12" t="str">
        <x:v>DEV-025</x:v>
      </x:c>
      <x:c r="B29" s="12" t="str">
        <x:v>DOC-01</x:v>
      </x:c>
      <x:c r="C29" s="12" t="str">
        <x:v>M2</x:v>
      </x:c>
      <x:c r="D29" s="12" t="str">
        <x:v>PDF/文本及Office开放格式解析</x:v>
      </x:c>
      <x:c r="E29" s="24" t="str">
        <x:v>采集/解析</x:v>
      </x:c>
      <x:c r="F29" s="12" t="str">
        <x:v>DEV-021, DEV-023, DEV-082</x:v>
      </x:c>
      <x:c r="G29" s="26" t="n">
        <x:v>8</x:v>
      </x:c>
      <x:c r="H29" s="26" t="n">
        <x:v>14</x:v>
      </x:c>
      <x:c r="I29" s="24" t="str">
        <x:v>未开始</x:v>
      </x:c>
      <x:c r="J29" s="12" t="str">
        <x:v>FT-025, B-20, C-09</x:v>
      </x:c>
      <x:c r="K29" s="12" t="str">
        <x:v>页/段/表格/工作表/幻灯片结构</x:v>
      </x:c>
      <x:c r="L29" s="12" t="str">
        <x:v>扩展名与内容嗅探冲突可拒绝；压缩炸弹与路径穿越阻断；缺失文本层进入显式OCR队列。</x:v>
      </x:c>
      <x:c r="M29" s="28"/>
      <x:c r="N29" s="24" t="str">
        <x:v>复核修订：RV-09；独立审核未执行</x:v>
      </x:c>
    </x:row>
    <x:row r="30" ht="100" customHeight="1">
      <x:c r="A30" s="12" t="str">
        <x:v>DEV-026</x:v>
      </x:c>
      <x:c r="B30" s="12" t="str">
        <x:v>BATCH-01</x:v>
      </x:c>
      <x:c r="C30" s="12" t="str">
        <x:v>M2</x:v>
      </x:c>
      <x:c r="D30" s="12" t="str">
        <x:v>批量网页/文档读取</x:v>
      </x:c>
      <x:c r="E30" s="24" t="str">
        <x:v>采集/解析</x:v>
      </x:c>
      <x:c r="F30" s="12" t="str">
        <x:v>DEV-022, DEV-025, DEV-005</x:v>
      </x:c>
      <x:c r="G30" s="26" t="n">
        <x:v>3</x:v>
      </x:c>
      <x:c r="H30" s="26" t="n">
        <x:v>5</x:v>
      </x:c>
      <x:c r="I30" s="24" t="str">
        <x:v>未开始</x:v>
      </x:c>
      <x:c r="J30" s="12" t="str">
        <x:v>FT-026</x:v>
      </x:c>
      <x:c r="K30" s="12" t="str">
        <x:v>逐项结果和批量任务</x:v>
      </x:c>
      <x:c r="L30" s="12" t="str">
        <x:v>10个输入只处理授权10项；失败隔离；暂停恢复不会重发已提交项。</x:v>
      </x:c>
      <x:c r="M30" s="28"/>
      <x:c r="N30" s="24" t="str">
        <x:v>保留原范围；独立审核未执行</x:v>
      </x:c>
    </x:row>
    <x:row r="31" ht="100" customHeight="1">
      <x:c r="A31" s="12" t="str">
        <x:v>DEV-027</x:v>
      </x:c>
      <x:c r="B31" s="12" t="str">
        <x:v>MAP-01</x:v>
      </x:c>
      <x:c r="C31" s="12" t="str">
        <x:v>M2</x:v>
      </x:c>
      <x:c r="D31" s="12" t="str">
        <x:v>Sitemap/Feed/链接发现</x:v>
      </x:c>
      <x:c r="E31" s="24" t="str">
        <x:v>采集/解析</x:v>
      </x:c>
      <x:c r="F31" s="12" t="str">
        <x:v>DEV-023, DEV-005</x:v>
      </x:c>
      <x:c r="G31" s="26" t="n">
        <x:v>5</x:v>
      </x:c>
      <x:c r="H31" s="26" t="n">
        <x:v>9</x:v>
      </x:c>
      <x:c r="I31" s="24" t="str">
        <x:v>未开始</x:v>
      </x:c>
      <x:c r="J31" s="12" t="str">
        <x:v>FT-027</x:v>
      </x:c>
      <x:c r="K31" s="12" t="str">
        <x:v>候选、parent、来源与深度</x:v>
      </x:c>
      <x:c r="L31" s="12" t="str">
        <x:v>候选不是已读；不宣称完整全站；XML外部实体禁用；页面深度与路径层数分开。</x:v>
      </x:c>
      <x:c r="M31" s="28"/>
      <x:c r="N31" s="24" t="str">
        <x:v>保留原范围；独立审核未执行</x:v>
      </x:c>
    </x:row>
    <x:row r="32" ht="100" customHeight="1">
      <x:c r="A32" s="12" t="str">
        <x:v>DEV-028</x:v>
      </x:c>
      <x:c r="B32" s="12" t="str">
        <x:v>CRAWL-01</x:v>
      </x:c>
      <x:c r="C32" s="12" t="str">
        <x:v>M2</x:v>
      </x:c>
      <x:c r="D32" s="12" t="str">
        <x:v>有界递归爬虫与抓取前沿</x:v>
      </x:c>
      <x:c r="E32" s="24" t="str">
        <x:v>采集/解析</x:v>
      </x:c>
      <x:c r="F32" s="12" t="str">
        <x:v>DEV-027, DEV-026, DEV-010, DEV-081</x:v>
      </x:c>
      <x:c r="G32" s="26" t="n">
        <x:v>8</x:v>
      </x:c>
      <x:c r="H32" s="26" t="n">
        <x:v>14</x:v>
      </x:c>
      <x:c r="I32" s="24" t="str">
        <x:v>未开始</x:v>
      </x:c>
      <x:c r="J32" s="12" t="str">
        <x:v>FT-028, C-02</x:v>
      </x:c>
      <x:c r="K32" s="12" t="str">
        <x:v>网页集合、边关系、覆盖与停止原因</x:v>
      </x:c>
      <x:c r="L32" s="12" t="str">
        <x:v>在途预算原子预留；达到限额显示partial；frontier耗尽仅代表允许范围；断点可恢复。</x:v>
      </x:c>
      <x:c r="M32" s="28"/>
      <x:c r="N32" s="24" t="str">
        <x:v>复核修订：RV-02；独立审核未执行</x:v>
      </x:c>
    </x:row>
    <x:row r="33" ht="100" customHeight="1">
      <x:c r="A33" s="12" t="str">
        <x:v>DEV-029</x:v>
      </x:c>
      <x:c r="B33" s="12" t="str">
        <x:v>CRAWL-03</x:v>
      </x:c>
      <x:c r="C33" s="12" t="str">
        <x:v>M2</x:v>
      </x:c>
      <x:c r="D33" s="12" t="str">
        <x:v>公开索引与摘要发布规则</x:v>
      </x:c>
      <x:c r="E33" s="24" t="str">
        <x:v>安全/采集</x:v>
      </x:c>
      <x:c r="F33" s="12" t="str">
        <x:v>DEV-081, DEV-023</x:v>
      </x:c>
      <x:c r="G33" s="26" t="n">
        <x:v>3</x:v>
      </x:c>
      <x:c r="H33" s="26" t="n">
        <x:v>5</x:v>
      </x:c>
      <x:c r="I33" s="24" t="str">
        <x:v>未开始</x:v>
      </x:c>
      <x:c r="J33" s="12" t="str">
        <x:v>FT-029, B-23, C-02</x:v>
      </x:c>
      <x:c r="K33" s="12" t="str">
        <x:v>抓取/索引/片段显示决策</x:v>
      </x:c>
      <x:c r="L33" s="12" t="str">
        <x:v>抓取允许不等于可公开索引；不按Google专属token套用于本工具；noindex变化触发索引移除。 未满足robots准入不会先到本模块；公开发布标签生效不等待整站爬虫完成。</x:v>
      </x:c>
      <x:c r="M33" s="28"/>
      <x:c r="N33" s="24" t="str">
        <x:v>复核修订：RV-02；独立审核未执行</x:v>
      </x:c>
    </x:row>
    <x:row r="34" ht="100" customHeight="1">
      <x:c r="A34" s="12" t="str">
        <x:v>DEV-030</x:v>
      </x:c>
      <x:c r="B34" s="12" t="str">
        <x:v>INDEX-01</x:v>
      </x:c>
      <x:c r="C34" s="12" t="str">
        <x:v>M2</x:v>
      </x:c>
      <x:c r="D34" s="12" t="str">
        <x:v>字段化全文检索与索引服务</x:v>
      </x:c>
      <x:c r="E34" s="24" t="str">
        <x:v>存储/检索</x:v>
      </x:c>
      <x:c r="F34" s="12" t="str">
        <x:v>DEV-006, DEV-007, DEV-023, DEV-082</x:v>
      </x:c>
      <x:c r="G34" s="26" t="n">
        <x:v>7</x:v>
      </x:c>
      <x:c r="H34" s="26" t="n">
        <x:v>12</x:v>
      </x:c>
      <x:c r="I34" s="24" t="str">
        <x:v>未开始</x:v>
      </x:c>
      <x:c r="J34" s="12" t="str">
        <x:v>FT-030, C-09</x:v>
      </x:c>
      <x:c r="K34" s="12" t="str">
        <x:v>全文索引、BM25候选、命中字段</x:v>
      </x:c>
      <x:c r="L34" s="12" t="str">
        <x:v>新增内容可搜索；FTS查询由AST编译而非原串；私有授权集合内排序与计数。</x:v>
      </x:c>
      <x:c r="M34" s="28"/>
      <x:c r="N34" s="24" t="str">
        <x:v>复核修订：RV-09；独立审核未执行</x:v>
      </x:c>
    </x:row>
    <x:row r="35" ht="100" customHeight="1">
      <x:c r="A35" s="12" t="str">
        <x:v>DEV-031</x:v>
      </x:c>
      <x:c r="B35" s="12" t="str">
        <x:v>INDEX-03</x:v>
      </x:c>
      <x:c r="C35" s="12" t="str">
        <x:v>M2</x:v>
      </x:c>
      <x:c r="D35" s="12" t="str">
        <x:v>索引增删改、可见性与版本切换</x:v>
      </x:c>
      <x:c r="E35" s="24" t="str">
        <x:v>存储/检索</x:v>
      </x:c>
      <x:c r="F35" s="12" t="str">
        <x:v>DEV-030, DEV-029</x:v>
      </x:c>
      <x:c r="G35" s="26" t="n">
        <x:v>6</x:v>
      </x:c>
      <x:c r="H35" s="26" t="n">
        <x:v>10</x:v>
      </x:c>
      <x:c r="I35" s="24" t="str">
        <x:v>未开始</x:v>
      </x:c>
      <x:c r="J35" s="12" t="str">
        <x:v>FT-031, B-21, C-08</x:v>
      </x:c>
      <x:c r="K35" s="12" t="str">
        <x:v>可见水位、IndexReceipt、tombstone</x:v>
      </x:c>
      <x:c r="L35" s="12" t="str">
        <x:v>可读不假装可搜；删除同步挡发布；旧游标撤权立即失效；恢复备份不复活删除内容。 更新后默认结果不返回旧正文；历史显式查询仍定位原版本；索引损坏可从有效正文恢复。</x:v>
      </x:c>
      <x:c r="M35" s="28"/>
      <x:c r="N35" s="24" t="str">
        <x:v>复核修订：RV-08；独立审核未执行</x:v>
      </x:c>
    </x:row>
    <x:row r="36" ht="100" customHeight="1">
      <x:c r="A36" s="12" t="str">
        <x:v>DEV-032</x:v>
      </x:c>
      <x:c r="B36" s="12" t="str">
        <x:v>CACHE-01</x:v>
      </x:c>
      <x:c r="C36" s="12" t="str">
        <x:v>M2</x:v>
      </x:c>
      <x:c r="D36" s="12" t="str">
        <x:v>多级缓存与在途请求复用</x:v>
      </x:c>
      <x:c r="E36" s="24" t="str">
        <x:v>核心平台</x:v>
      </x:c>
      <x:c r="F36" s="12" t="str">
        <x:v>DEV-021, DEV-031</x:v>
      </x:c>
      <x:c r="G36" s="26" t="n">
        <x:v>6</x:v>
      </x:c>
      <x:c r="H36" s="26" t="n">
        <x:v>10</x:v>
      </x:c>
      <x:c r="I36" s="24" t="str">
        <x:v>未开始</x:v>
      </x:c>
      <x:c r="J36" s="12" t="str">
        <x:v>FT-032, B-24, C-15</x:v>
      </x:c>
      <x:c r="K36" s="12" t="str">
        <x:v>cache状态与可复用结果</x:v>
      </x:c>
      <x:c r="L36" s="12" t="str">
        <x:v>cache_only不联网采集；offline连远程模型也禁止；刷新失败旧内容需显式授权；不跨身份复用。</x:v>
      </x:c>
      <x:c r="M36" s="28"/>
      <x:c r="N36" s="24" t="str">
        <x:v>复核修订：RV-15；独立审核未执行</x:v>
      </x:c>
    </x:row>
    <x:row r="37" ht="100" customHeight="1">
      <x:c r="A37" s="12" t="str">
        <x:v>DEV-033</x:v>
      </x:c>
      <x:c r="B37" s="12" t="str">
        <x:v>QRY-03</x:v>
      </x:c>
      <x:c r="C37" s="12" t="str">
        <x:v>M3</x:v>
      </x:c>
      <x:c r="D37" s="12" t="str">
        <x:v>中文简繁、混合语言与原文映射</x:v>
      </x:c>
      <x:c r="E37" s="24" t="str">
        <x:v>检索核心</x:v>
      </x:c>
      <x:c r="F37" s="12" t="str">
        <x:v>DEV-014, DEV-030</x:v>
      </x:c>
      <x:c r="G37" s="26" t="n">
        <x:v>6</x:v>
      </x:c>
      <x:c r="H37" s="26" t="n">
        <x:v>10</x:v>
      </x:c>
      <x:c r="I37" s="24" t="str">
        <x:v>未开始</x:v>
      </x:c>
      <x:c r="J37" s="12" t="str">
        <x:v>FT-033, B-03</x:v>
      </x:c>
      <x:c r="K37" s="12" t="str">
        <x:v>分词与变体索引、原文位置映射</x:v>
      </x:c>
      <x:c r="L37" s="12" t="str">
        <x:v>中英代码混合可命中；两语种不互相覆盖；每条highlight仍指向原文。</x:v>
      </x:c>
      <x:c r="M37" s="28"/>
      <x:c r="N37" s="24" t="str">
        <x:v>保留原范围；独立审核未执行</x:v>
      </x:c>
    </x:row>
    <x:row r="38" ht="100" customHeight="1">
      <x:c r="A38" s="12" t="str">
        <x:v>DEV-034</x:v>
      </x:c>
      <x:c r="B38" s="12" t="str">
        <x:v>QRY-04</x:v>
      </x:c>
      <x:c r="C38" s="12" t="str">
        <x:v>M3</x:v>
      </x:c>
      <x:c r="D38" s="12" t="str">
        <x:v>硬条件核验与预算内补召回</x:v>
      </x:c>
      <x:c r="E38" s="24" t="str">
        <x:v>检索核心</x:v>
      </x:c>
      <x:c r="F38" s="12" t="str">
        <x:v>DEV-011, DEV-023, DEV-031</x:v>
      </x:c>
      <x:c r="G38" s="26" t="n">
        <x:v>6</x:v>
      </x:c>
      <x:c r="H38" s="26" t="n">
        <x:v>10</x:v>
      </x:c>
      <x:c r="I38" s="24" t="str">
        <x:v>未开始</x:v>
      </x:c>
      <x:c r="J38" s="12" t="str">
        <x:v>FT-034, B-04, B-05, B-06</x:v>
      </x:c>
      <x:c r="K38" s="12" t="str">
        <x:v>满足/不符合/未知、核验范围、补搜计划</x:v>
      </x:c>
      <x:c r="L38" s="12" t="str">
        <x:v>strict主结果只放已核验满足项；unknown单列；预算不足不说全网无结果。</x:v>
      </x:c>
      <x:c r="M38" s="28"/>
      <x:c r="N38" s="24" t="str">
        <x:v>保留原范围；独立审核未执行</x:v>
      </x:c>
    </x:row>
    <x:row r="39" ht="100" customHeight="1">
      <x:c r="A39" s="12" t="str">
        <x:v>DEV-035</x:v>
      </x:c>
      <x:c r="B39" s="12" t="str">
        <x:v>QRY-05</x:v>
      </x:c>
      <x:c r="C39" s="12" t="str">
        <x:v>M3</x:v>
      </x:c>
      <x:c r="D39" s="12" t="str">
        <x:v>纠错、别名与可控模糊匹配</x:v>
      </x:c>
      <x:c r="E39" s="24" t="str">
        <x:v>检索核心</x:v>
      </x:c>
      <x:c r="F39" s="12" t="str">
        <x:v>DEV-033</x:v>
      </x:c>
      <x:c r="G39" s="26" t="n">
        <x:v>4</x:v>
      </x:c>
      <x:c r="H39" s="26" t="n">
        <x:v>7</x:v>
      </x:c>
      <x:c r="I39" s="24" t="str">
        <x:v>未开始</x:v>
      </x:c>
      <x:c r="J39" s="12" t="str">
        <x:v>FT-035</x:v>
      </x:c>
      <x:c r="K39" s="12" t="str">
        <x:v>建议、原查询与派生查询</x:v>
      </x:c>
      <x:c r="L39" s="12" t="str">
        <x:v>没有自动把C++改成C#；纠错不删除硬条件；中英文词典范围可配置。</x:v>
      </x:c>
      <x:c r="M39" s="28"/>
      <x:c r="N39" s="24" t="str">
        <x:v>保留原范围；独立审核未执行</x:v>
      </x:c>
    </x:row>
    <x:row r="40" ht="100" customHeight="1">
      <x:c r="A40" s="12" t="str">
        <x:v>DEV-036</x:v>
      </x:c>
      <x:c r="B40" s="12" t="str">
        <x:v>QRY-06</x:v>
      </x:c>
      <x:c r="C40" s="12" t="str">
        <x:v>M3</x:v>
      </x:c>
      <x:c r="D40" s="12" t="str">
        <x:v>联想补全与相关查询</x:v>
      </x:c>
      <x:c r="E40" s="24" t="str">
        <x:v>检索核心/API</x:v>
      </x:c>
      <x:c r="F40" s="12" t="str">
        <x:v>DEV-035, DEV-007</x:v>
      </x:c>
      <x:c r="G40" s="26" t="n">
        <x:v>4</x:v>
      </x:c>
      <x:c r="H40" s="26" t="n">
        <x:v>7</x:v>
      </x:c>
      <x:c r="I40" s="24" t="str">
        <x:v>未开始</x:v>
      </x:c>
      <x:c r="J40" s="12" t="str">
        <x:v>FT-036, B-17</x:v>
      </x:c>
      <x:c r="K40" s="12" t="str">
        <x:v>可解释的补全与相关查询</x:v>
      </x:c>
      <x:c r="L40" s="12" t="str">
        <x:v>未提交的按键默认不外发；关闭历史后不继续积累；查询建议无他人私有词。</x:v>
      </x:c>
      <x:c r="M40" s="28"/>
      <x:c r="N40" s="24" t="str">
        <x:v>保留原范围；独立审核未执行</x:v>
      </x:c>
    </x:row>
    <x:row r="41" ht="100" customHeight="1">
      <x:c r="A41" s="12" t="str">
        <x:v>DEV-037</x:v>
      </x:c>
      <x:c r="B41" s="12" t="str">
        <x:v>RANK-01</x:v>
      </x:c>
      <x:c r="C41" s="12" t="str">
        <x:v>M3</x:v>
      </x:c>
      <x:c r="D41" s="12" t="str">
        <x:v>多样性、转载聚类与质量过滤</x:v>
      </x:c>
      <x:c r="E41" s="24" t="str">
        <x:v>检索核心</x:v>
      </x:c>
      <x:c r="F41" s="12" t="str">
        <x:v>DEV-016, DEV-023</x:v>
      </x:c>
      <x:c r="G41" s="26" t="n">
        <x:v>6</x:v>
      </x:c>
      <x:c r="H41" s="26" t="n">
        <x:v>10</x:v>
      </x:c>
      <x:c r="I41" s="24" t="str">
        <x:v>未开始</x:v>
      </x:c>
      <x:c r="J41" s="12" t="str">
        <x:v>FT-037, B-09, B-10</x:v>
      </x:c>
      <x:c r="K41" s="12" t="str">
        <x:v>多样化结果、折叠组、处理原因</x:v>
      </x:c>
      <x:c r="L41" s="12" t="str">
        <x:v>site限定不被多样性突破；未知站点不默认降权；被折叠结果可展开并可核验误杀。</x:v>
      </x:c>
      <x:c r="M41" s="28"/>
      <x:c r="N41" s="24" t="str">
        <x:v>保留原范围；独立审核未执行</x:v>
      </x:c>
    </x:row>
    <x:row r="42" ht="100" customHeight="1">
      <x:c r="A42" s="12" t="str">
        <x:v>DEV-038</x:v>
      </x:c>
      <x:c r="B42" s="12" t="str">
        <x:v>RANK-02</x:v>
      </x:c>
      <x:c r="C42" s="12" t="str">
        <x:v>M3</x:v>
      </x:c>
      <x:c r="D42" s="12" t="str">
        <x:v>排序解释与来源增量价值</x:v>
      </x:c>
      <x:c r="E42" s="24" t="str">
        <x:v>检索核心/质量</x:v>
      </x:c>
      <x:c r="F42" s="12" t="str">
        <x:v>DEV-037, DEV-019</x:v>
      </x:c>
      <x:c r="G42" s="26" t="n">
        <x:v>4</x:v>
      </x:c>
      <x:c r="H42" s="26" t="n">
        <x:v>7</x:v>
      </x:c>
      <x:c r="I42" s="24" t="str">
        <x:v>未开始</x:v>
      </x:c>
      <x:c r="J42" s="12" t="str">
        <x:v>FT-038, B-11, C-07</x:v>
      </x:c>
      <x:c r="K42" s="12" t="str">
        <x:v>rank_trace与来源效用报表</x:v>
      </x:c>
      <x:c r="L42" s="12" t="str">
        <x:v>解释与实际排序版本一致；原始分数不冒充事实可信度；只评估采样/当前集合。</x:v>
      </x:c>
      <x:c r="M42" s="28"/>
      <x:c r="N42" s="24" t="str">
        <x:v>复核修订：RV-07；独立审核未执行</x:v>
      </x:c>
    </x:row>
    <x:row r="43" ht="100" customHeight="1">
      <x:c r="A43" s="12" t="str">
        <x:v>DEV-039</x:v>
      </x:c>
      <x:c r="B43" s="12" t="str">
        <x:v>SEARCH-05</x:v>
      </x:c>
      <x:c r="C43" s="12" t="str">
        <x:v>M3</x:v>
      </x:c>
      <x:c r="D43" s="12" t="str">
        <x:v>空结果诊断与安全放宽建议</x:v>
      </x:c>
      <x:c r="E43" s="24" t="str">
        <x:v>检索核心</x:v>
      </x:c>
      <x:c r="F43" s="12" t="str">
        <x:v>DEV-034, DEV-019</x:v>
      </x:c>
      <x:c r="G43" s="26" t="n">
        <x:v>3</x:v>
      </x:c>
      <x:c r="H43" s="26" t="n">
        <x:v>5</x:v>
      </x:c>
      <x:c r="I43" s="24" t="str">
        <x:v>未开始</x:v>
      </x:c>
      <x:c r="J43" s="12" t="str">
        <x:v>FT-039, B-06, B-12</x:v>
      </x:c>
      <x:c r="K43" s="12" t="str">
        <x:v>诊断与可选择的下一查询</x:v>
      </x:c>
      <x:c r="L43" s="12" t="str">
        <x:v>没搜到不显示为不存在；重复补搜无新增时停止；保留原始条件。</x:v>
      </x:c>
      <x:c r="M43" s="28"/>
      <x:c r="N43" s="24" t="str">
        <x:v>保留原范围；独立审核未执行</x:v>
      </x:c>
    </x:row>
    <x:row r="44" ht="100" customHeight="1">
      <x:c r="A44" s="12" t="str">
        <x:v>DEV-040</x:v>
      </x:c>
      <x:c r="B44" s="12" t="str">
        <x:v>FACET-01</x:v>
      </x:c>
      <x:c r="C44" s="12" t="str">
        <x:v>M3</x:v>
      </x:c>
      <x:c r="D44" s="12" t="str">
        <x:v>分面筛选与连续细化</x:v>
      </x:c>
      <x:c r="E44" s="24" t="str">
        <x:v>检索核心/API</x:v>
      </x:c>
      <x:c r="F44" s="12" t="str">
        <x:v>DEV-017, DEV-034</x:v>
      </x:c>
      <x:c r="G44" s="26" t="n">
        <x:v>5</x:v>
      </x:c>
      <x:c r="H44" s="26" t="n">
        <x:v>8</x:v>
      </x:c>
      <x:c r="I44" s="24" t="str">
        <x:v>未开始</x:v>
      </x:c>
      <x:c r="J44" s="12" t="str">
        <x:v>FT-040, B-16</x:v>
      </x:c>
      <x:c r="K44" s="12" t="str">
        <x:v>带范围的计数与新结果版本</x:v>
      </x:c>
      <x:c r="L44" s="12" t="str">
        <x:v>所有计数过ACL；不把候选数量当全网量；未知时间单列。</x:v>
      </x:c>
      <x:c r="M44" s="28"/>
      <x:c r="N44" s="24" t="str">
        <x:v>保留原范围；独立审核未执行</x:v>
      </x:c>
    </x:row>
    <x:row r="45" ht="100" customHeight="1">
      <x:c r="A45" s="12" t="str">
        <x:v>DEV-041</x:v>
      </x:c>
      <x:c r="B45" s="12" t="str">
        <x:v>SRC-05</x:v>
      </x:c>
      <x:c r="C45" s="12" t="str">
        <x:v>M3</x:v>
      </x:c>
      <x:c r="D45" s="12" t="str">
        <x:v>自适应来源选择与后续批次扩展</x:v>
      </x:c>
      <x:c r="E45" s="24" t="str">
        <x:v>搜索适配</x:v>
      </x:c>
      <x:c r="F45" s="12" t="str">
        <x:v>DEV-038, DEV-039</x:v>
      </x:c>
      <x:c r="G45" s="26" t="n">
        <x:v>4</x:v>
      </x:c>
      <x:c r="H45" s="26" t="n">
        <x:v>7</x:v>
      </x:c>
      <x:c r="I45" s="24" t="str">
        <x:v>未开始</x:v>
      </x:c>
      <x:c r="J45" s="12" t="str">
        <x:v>FT-041, B-18</x:v>
      </x:c>
      <x:c r="K45" s="12" t="str">
        <x:v>来源分配与探测计划</x:v>
      </x:c>
      <x:c r="L45" s="12" t="str">
        <x:v>新增源改善或降低效果有分组报告；同源限流不被策略绕过；策略可回滚。</x:v>
      </x:c>
      <x:c r="M45" s="28"/>
      <x:c r="N45" s="24" t="str">
        <x:v>保留原范围；独立审核未执行</x:v>
      </x:c>
    </x:row>
    <x:row r="46" ht="100" customHeight="1">
      <x:c r="A46" s="12" t="str">
        <x:v>DEV-042</x:v>
      </x:c>
      <x:c r="B46" s="12" t="str">
        <x:v>QA-02</x:v>
      </x:c>
      <x:c r="C46" s="12" t="str">
        <x:v>M3</x:v>
      </x:c>
      <x:c r="D46" s="12" t="str">
        <x:v>检索相关性与约束基准</x:v>
      </x:c>
      <x:c r="E46" s="24" t="str">
        <x:v>测试/质量</x:v>
      </x:c>
      <x:c r="F46" s="12" t="str">
        <x:v>DEV-034, DEV-037, DEV-040, DEV-008</x:v>
      </x:c>
      <x:c r="G46" s="26" t="n">
        <x:v>6</x:v>
      </x:c>
      <x:c r="H46" s="26" t="n">
        <x:v>11</x:v>
      </x:c>
      <x:c r="I46" s="24" t="str">
        <x:v>未开始</x:v>
      </x:c>
      <x:c r="J46" s="12" t="str">
        <x:v>FT-042, C-14</x:v>
      </x:c>
      <x:c r="K46" s="12" t="str">
        <x:v>nDCG/MRR/Precision/约束正确率报告</x:v>
      </x:c>
      <x:c r="L46" s="12" t="str">
        <x:v>硬条件与引用错误阻断发布；无全网召回率声称；质量提升有人工与复现依据。 未冻结环境/语料hash/阈值/审查人不能通过性能或语义发布门禁；确定性约束失败数必须为0。</x:v>
      </x:c>
      <x:c r="M46" s="28"/>
      <x:c r="N46" s="24" t="str">
        <x:v>复核修订：RV-14；独立审核未执行</x:v>
      </x:c>
    </x:row>
    <x:row r="47" ht="100" customHeight="1">
      <x:c r="A47" s="12" t="str">
        <x:v>DEV-043</x:v>
      </x:c>
      <x:c r="B47" s="12" t="str">
        <x:v>MODEL-01</x:v>
      </x:c>
      <x:c r="C47" s="12" t="str">
        <x:v>M4</x:v>
      </x:c>
      <x:c r="D47" s="12" t="str">
        <x:v>模型端点、角色配置与能力验证</x:v>
      </x:c>
      <x:c r="E47" s="24" t="str">
        <x:v>模型/研究</x:v>
      </x:c>
      <x:c r="F47" s="12" t="str">
        <x:v>DEV-083, DEV-004, DEV-007, DEV-079</x:v>
      </x:c>
      <x:c r="G47" s="26" t="n">
        <x:v>6</x:v>
      </x:c>
      <x:c r="H47" s="26" t="n">
        <x:v>10</x:v>
      </x:c>
      <x:c r="I47" s="24" t="str">
        <x:v>未开始</x:v>
      </x:c>
      <x:c r="J47" s="12" t="str">
        <x:v>FT-043, B-25, C-04, C-06</x:v>
      </x:c>
      <x:c r="K47" s="12" t="str">
        <x:v>有效角色配置与能力矩阵</x:v>
      </x:c>
      <x:c r="L47" s="12" t="str">
        <x:v>本地与远程都允许；未支持参数报错；不隐式换提供方；禁用供应商托管搜索/浏览器。 无模型配置Schema和程序均接受；角色引用不存在、能力不匹配、非法出站地址由明确层次拒绝。</x:v>
      </x:c>
      <x:c r="M47" s="28"/>
      <x:c r="N47" s="24" t="str">
        <x:v>复核修订：RV-04, RV-06；独立审核未执行</x:v>
      </x:c>
    </x:row>
    <x:row r="48" ht="100" customHeight="1">
      <x:c r="A48" s="12" t="str">
        <x:v>DEV-044</x:v>
      </x:c>
      <x:c r="B48" s="12" t="str">
        <x:v>MODEL-02</x:v>
      </x:c>
      <x:c r="C48" s="12" t="str">
        <x:v>M4</x:v>
      </x:c>
      <x:c r="D48" s="12" t="str">
        <x:v>模型预算、结构输出、缓存与数据出站</x:v>
      </x:c>
      <x:c r="E48" s="24" t="str">
        <x:v>模型/研究</x:v>
      </x:c>
      <x:c r="F48" s="12" t="str">
        <x:v>DEV-043, DEV-032, DEV-007</x:v>
      </x:c>
      <x:c r="G48" s="26" t="n">
        <x:v>6</x:v>
      </x:c>
      <x:c r="H48" s="26" t="n">
        <x:v>10</x:v>
      </x:c>
      <x:c r="I48" s="24" t="str">
        <x:v>未开始</x:v>
      </x:c>
      <x:c r="J48" s="12" t="str">
        <x:v>FT-044, B-26, C-06</x:v>
      </x:c>
      <x:c r="K48" s="12" t="str">
        <x:v>ModelRun、结构验证与usage</x:v>
      </x:c>
      <x:c r="L48" s="12" t="str">
        <x:v>未知usage不记0；模型不能增预算；网页不能扩大工具权限；私有材料未授权不外发。 遗漏/显式null/任务覆盖分别测试；模型请求中不能混入未获准profile；参数不支持不静默丢弃。</x:v>
      </x:c>
      <x:c r="M48" s="28"/>
      <x:c r="N48" s="24" t="str">
        <x:v>复核修订：RV-06；独立审核未执行</x:v>
      </x:c>
    </x:row>
    <x:row r="49" ht="100" customHeight="1">
      <x:c r="A49" s="12" t="str">
        <x:v>DEV-045</x:v>
      </x:c>
      <x:c r="B49" s="12" t="str">
        <x:v>SEARCH-02</x:v>
      </x:c>
      <x:c r="C49" s="12" t="str">
        <x:v>M4</x:v>
      </x:c>
      <x:c r="D49" s="12" t="str">
        <x:v>自然语言规划与跨语言扩展</x:v>
      </x:c>
      <x:c r="E49" s="24" t="str">
        <x:v>模型/研究</x:v>
      </x:c>
      <x:c r="F49" s="12" t="str">
        <x:v>DEV-044, DEV-034</x:v>
      </x:c>
      <x:c r="G49" s="26" t="n">
        <x:v>5</x:v>
      </x:c>
      <x:c r="H49" s="26" t="n">
        <x:v>8</x:v>
      </x:c>
      <x:c r="I49" s="24" t="str">
        <x:v>未开始</x:v>
      </x:c>
      <x:c r="J49" s="12" t="str">
        <x:v>FT-045, B-07</x:v>
      </x:c>
      <x:c r="K49" s="12" t="str">
        <x:v>有限QueryPlan和转换记录</x:v>
      </x:c>
      <x:c r="L49" s="12" t="str">
        <x:v>原查询保留；派生查询数量受控；模型故障可原词搜索；不是翻译结果后伪称原文。</x:v>
      </x:c>
      <x:c r="M49" s="28"/>
      <x:c r="N49" s="24" t="str">
        <x:v>保留原范围；独立审核未执行</x:v>
      </x:c>
    </x:row>
    <x:row r="50" ht="100" customHeight="1">
      <x:c r="A50" s="12" t="str">
        <x:v>DEV-046</x:v>
      </x:c>
      <x:c r="B50" s="12" t="str">
        <x:v>INDEX-02</x:v>
      </x:c>
      <x:c r="C50" s="12" t="str">
        <x:v>M4</x:v>
      </x:c>
      <x:c r="D50" s="12" t="str">
        <x:v>语义向量与混合检索</x:v>
      </x:c>
      <x:c r="E50" s="24" t="str">
        <x:v>存储/检索</x:v>
      </x:c>
      <x:c r="F50" s="12" t="str">
        <x:v>DEV-044, DEV-031, DEV-033</x:v>
      </x:c>
      <x:c r="G50" s="26" t="n">
        <x:v>10</x:v>
      </x:c>
      <x:c r="H50" s="26" t="n">
        <x:v>17</x:v>
      </x:c>
      <x:c r="I50" s="24" t="str">
        <x:v>未开始</x:v>
      </x:c>
      <x:c r="J50" s="12" t="str">
        <x:v>FT-046, B-22, C-08</x:v>
      </x:c>
      <x:c r="K50" s="12" t="str">
        <x:v>向量索引、候选、融合与重排</x:v>
      </x:c>
      <x:c r="L50" s="12" t="str">
        <x:v>不同维度/模型不混用；索引可重建；ANN过滤召回不足标partial；无向量仍有全文搜索。 查询与写入压力交错不发生数据竞争；崩溃重放幂等；k大于可用数不伪造结果；重载后恢复ef/模型空间和水位。</x:v>
      </x:c>
      <x:c r="M50" s="28"/>
      <x:c r="N50" s="24" t="str">
        <x:v>复核修订：RV-08；独立审核未执行</x:v>
      </x:c>
    </x:row>
    <x:row r="51" ht="100" customHeight="1">
      <x:c r="A51" s="12" t="str">
        <x:v>DEV-047</x:v>
      </x:c>
      <x:c r="B51" s="12" t="str">
        <x:v>EVID-01</x:v>
      </x:c>
      <x:c r="C51" s="12" t="str">
        <x:v>M4</x:v>
      </x:c>
      <x:c r="D51" s="12" t="str">
        <x:v>原文Highlights与证据定位</x:v>
      </x:c>
      <x:c r="E51" s="24" t="str">
        <x:v>模型/研究</x:v>
      </x:c>
      <x:c r="F51" s="12" t="str">
        <x:v>DEV-023, DEV-030, DEV-007</x:v>
      </x:c>
      <x:c r="G51" s="26" t="n">
        <x:v>5</x:v>
      </x:c>
      <x:c r="H51" s="26" t="n">
        <x:v>8</x:v>
      </x:c>
      <x:c r="I51" s="24" t="str">
        <x:v>未开始</x:v>
      </x:c>
      <x:c r="J51" s="12" t="str">
        <x:v>FT-047, B-03, B-35, C-13</x:v>
      </x:c>
      <x:c r="K51" s="12" t="str">
        <x:v>原文、字节区间、块/页/时间位置</x:v>
      </x:c>
      <x:c r="L51" s="12" t="str">
        <x:v>每条已发布quote可从不可变文本精确切出；模型改写进summary；OCR另标识。 无模型仍能产出可定位基础片段；有模型后相关性增强另测，不用基础完成冒充模型增强。</x:v>
      </x:c>
      <x:c r="M51" s="28"/>
      <x:c r="N51" s="24" t="str">
        <x:v>复核修订：RV-13；独立审核未执行</x:v>
      </x:c>
    </x:row>
    <x:row r="52" ht="100" customHeight="1">
      <x:c r="A52" s="12" t="str">
        <x:v>DEV-048</x:v>
      </x:c>
      <x:c r="B52" s="12" t="str">
        <x:v>EVID-02</x:v>
      </x:c>
      <x:c r="C52" s="12" t="str">
        <x:v>M4</x:v>
      </x:c>
      <x:c r="D52" s="12" t="str">
        <x:v>页内查找、定位与分段阅读</x:v>
      </x:c>
      <x:c r="E52" s="24" t="str">
        <x:v>API/内容</x:v>
      </x:c>
      <x:c r="F52" s="12" t="str">
        <x:v>DEV-006, DEV-007</x:v>
      </x:c>
      <x:c r="G52" s="26" t="n">
        <x:v>3</x:v>
      </x:c>
      <x:c r="H52" s="26" t="n">
        <x:v>5</x:v>
      </x:c>
      <x:c r="I52" s="24" t="str">
        <x:v>未开始</x:v>
      </x:c>
      <x:c r="J52" s="12" t="str">
        <x:v>FT-048</x:v>
      </x:c>
      <x:c r="K52" s="12" t="str">
        <x:v>命中块与相邻上下文</x:v>
      </x:c>
      <x:c r="L52" s="12" t="str">
        <x:v>find不重新抓网页；过期/删除证据明确不可用；每次调用重新鉴权。</x:v>
      </x:c>
      <x:c r="M52" s="28"/>
      <x:c r="N52" s="24" t="str">
        <x:v>保留原范围；独立审核未执行</x:v>
      </x:c>
    </x:row>
    <x:row r="53" ht="100" customHeight="1">
      <x:c r="A53" s="12" t="str">
        <x:v>DEV-049</x:v>
      </x:c>
      <x:c r="B53" s="12" t="str">
        <x:v>EXTRACT-01</x:v>
      </x:c>
      <x:c r="C53" s="12" t="str">
        <x:v>M4</x:v>
      </x:c>
      <x:c r="D53" s="12" t="str">
        <x:v>规则/模型字段提取与证据核验</x:v>
      </x:c>
      <x:c r="E53" s="24" t="str">
        <x:v>模型/研究</x:v>
      </x:c>
      <x:c r="F53" s="12" t="str">
        <x:v>DEV-047, DEV-044</x:v>
      </x:c>
      <x:c r="G53" s="26" t="n">
        <x:v>6</x:v>
      </x:c>
      <x:c r="H53" s="26" t="n">
        <x:v>10</x:v>
      </x:c>
      <x:c r="I53" s="24" t="str">
        <x:v>未开始</x:v>
      </x:c>
      <x:c r="J53" s="12" t="str">
        <x:v>FT-049, B-27</x:v>
      </x:c>
      <x:c r="K53" s="12" t="str">
        <x:v>字段值、状态、evidence_ids</x:v>
      </x:c>
      <x:c r="L53" s="12" t="str">
        <x:v>Schema合法不等于语义正确；未知引用ID拒绝；不支持必填要求报告冲突。</x:v>
      </x:c>
      <x:c r="M53" s="28"/>
      <x:c r="N53" s="24" t="str">
        <x:v>保留原范围；独立审核未执行</x:v>
      </x:c>
    </x:row>
    <x:row r="54" ht="100" customHeight="1">
      <x:c r="A54" s="12" t="str">
        <x:v>DEV-050</x:v>
      </x:c>
      <x:c r="B54" s="12" t="str">
        <x:v>ANSWER-01</x:v>
      </x:c>
      <x:c r="C54" s="12" t="str">
        <x:v>M4</x:v>
      </x:c>
      <x:c r="D54" s="12" t="str">
        <x:v>证据回答与冲突呈现</x:v>
      </x:c>
      <x:c r="E54" s="24" t="str">
        <x:v>模型/研究</x:v>
      </x:c>
      <x:c r="F54" s="12" t="str">
        <x:v>DEV-049, DEV-048</x:v>
      </x:c>
      <x:c r="G54" s="26" t="n">
        <x:v>5</x:v>
      </x:c>
      <x:c r="H54" s="26" t="n">
        <x:v>9</x:v>
      </x:c>
      <x:c r="I54" s="24" t="str">
        <x:v>未开始</x:v>
      </x:c>
      <x:c r="J54" s="12" t="str">
        <x:v>FT-050, B-27</x:v>
      </x:c>
      <x:c r="K54" s="12" t="str">
        <x:v>答案、claim映射、矛盾和未知</x:v>
      </x:c>
      <x:c r="L54" s="12" t="str">
        <x:v>无证据关键断言删除/限定；对立资料不隐藏；模型记忆不伪装成引用事实。</x:v>
      </x:c>
      <x:c r="M54" s="28"/>
      <x:c r="N54" s="24" t="str">
        <x:v>保留原范围；独立审核未执行</x:v>
      </x:c>
    </x:row>
    <x:row r="55" ht="100" customHeight="1">
      <x:c r="A55" s="12" t="str">
        <x:v>DEV-051</x:v>
      </x:c>
      <x:c r="B55" s="12" t="str">
        <x:v>RESEARCH-01</x:v>
      </x:c>
      <x:c r="C55" s="12" t="str">
        <x:v>M4</x:v>
      </x:c>
      <x:c r="D55" s="12" t="str">
        <x:v>有界多轮研究</x:v>
      </x:c>
      <x:c r="E55" s="24" t="str">
        <x:v>模型/研究</x:v>
      </x:c>
      <x:c r="F55" s="12" t="str">
        <x:v>DEV-050, DEV-045, DEV-005</x:v>
      </x:c>
      <x:c r="G55" s="26" t="n">
        <x:v>8</x:v>
      </x:c>
      <x:c r="H55" s="26" t="n">
        <x:v>14</x:v>
      </x:c>
      <x:c r="I55" s="24" t="str">
        <x:v>未开始</x:v>
      </x:c>
      <x:c r="J55" s="12" t="str">
        <x:v>FT-051, B-28</x:v>
      </x:c>
      <x:c r="K55" s="12" t="str">
        <x:v>计划、证据表、报告与停止原因</x:v>
      </x:c>
      <x:c r="L55" s="12" t="str">
        <x:v>模型不得增预算；无新增证据停止；生成失败保留证据；中止可恢复。</x:v>
      </x:c>
      <x:c r="M55" s="28"/>
      <x:c r="N55" s="24" t="str">
        <x:v>保留原范围；独立审核未执行</x:v>
      </x:c>
    </x:row>
    <x:row r="56" ht="100" customHeight="1">
      <x:c r="A56" s="12" t="str">
        <x:v>DEV-052</x:v>
      </x:c>
      <x:c r="B56" s="12" t="str">
        <x:v>SEARCH-04</x:v>
      </x:c>
      <x:c r="C56" s="12" t="str">
        <x:v>M4</x:v>
      </x:c>
      <x:c r="D56" s="12" t="str">
        <x:v>相似网页与示例驱动检索</x:v>
      </x:c>
      <x:c r="E56" s="24" t="str">
        <x:v>检索核心</x:v>
      </x:c>
      <x:c r="F56" s="12" t="str">
        <x:v>DEV-046, DEV-047</x:v>
      </x:c>
      <x:c r="G56" s="26" t="n">
        <x:v>5</x:v>
      </x:c>
      <x:c r="H56" s="26" t="n">
        <x:v>8</x:v>
      </x:c>
      <x:c r="I56" s="24" t="str">
        <x:v>未开始</x:v>
      </x:c>
      <x:c r="J56" s="12" t="str">
        <x:v>FT-052, B-09</x:v>
      </x:c>
      <x:c r="K56" s="12" t="str">
        <x:v>相似但非重复结果和依据</x:v>
      </x:c>
      <x:c r="L56" s="12" t="str">
        <x:v>标明搜索覆盖范围；无全网反向索引承诺；私人种子不擅自变成外部查询。</x:v>
      </x:c>
      <x:c r="M56" s="28"/>
      <x:c r="N56" s="24" t="str">
        <x:v>保留原范围；独立审核未执行</x:v>
      </x:c>
    </x:row>
    <x:row r="57" ht="100" customHeight="1">
      <x:c r="A57" s="12" t="str">
        <x:v>DEV-053</x:v>
      </x:c>
      <x:c r="B57" s="12" t="str">
        <x:v>DATASET-01</x:v>
      </x:c>
      <x:c r="C57" s="12" t="str">
        <x:v>M5</x:v>
      </x:c>
      <x:c r="D57" s="12" t="str">
        <x:v>实体资料集与逐项条件核验</x:v>
      </x:c>
      <x:c r="E57" s="24" t="str">
        <x:v>模型/研究</x:v>
      </x:c>
      <x:c r="F57" s="12" t="str">
        <x:v>DEV-049, DEV-051</x:v>
      </x:c>
      <x:c r="G57" s="26" t="n">
        <x:v>6</x:v>
      </x:c>
      <x:c r="H57" s="26" t="n">
        <x:v>10</x:v>
      </x:c>
      <x:c r="I57" s="24" t="str">
        <x:v>未开始</x:v>
      </x:c>
      <x:c r="J57" s="12" t="str">
        <x:v>FT-053</x:v>
      </x:c>
      <x:c r="K57" s="12" t="str">
        <x:v>实体记录、合并依据、字段证据</x:v>
      </x:c>
      <x:c r="L57" s="12" t="str">
        <x:v>unknown不当false；新证据覆盖字段要留历史；搜索相关不能冒充满足。</x:v>
      </x:c>
      <x:c r="M57" s="28"/>
      <x:c r="N57" s="24" t="str">
        <x:v>保留原范围；独立审核未执行</x:v>
      </x:c>
    </x:row>
    <x:row r="58" ht="100" customHeight="1">
      <x:c r="A58" s="12" t="str">
        <x:v>DEV-054</x:v>
      </x:c>
      <x:c r="B58" s="12" t="str">
        <x:v>READ-04</x:v>
      </x:c>
      <x:c r="C58" s="12" t="str">
        <x:v>M5</x:v>
      </x:c>
      <x:c r="D58" s="12" t="str">
        <x:v>自适应定位与规则修复</x:v>
      </x:c>
      <x:c r="E58" s="24" t="str">
        <x:v>采集/解析</x:v>
      </x:c>
      <x:c r="F58" s="12" t="str">
        <x:v>DEV-023, DEV-049</x:v>
      </x:c>
      <x:c r="G58" s="26" t="n">
        <x:v>6</x:v>
      </x:c>
      <x:c r="H58" s="26" t="n">
        <x:v>11</x:v>
      </x:c>
      <x:c r="I58" s="24" t="str">
        <x:v>未开始</x:v>
      </x:c>
      <x:c r="J58" s="12" t="str">
        <x:v>FT-054</x:v>
      </x:c>
      <x:c r="K58" s="12" t="str">
        <x:v>候选定位、置信线索和待确认修复</x:v>
      </x:c>
      <x:c r="L58" s="12" t="str">
        <x:v>不确定和错误匹配均可报告；失败不静默替换已确认规则；跨站点隔离。</x:v>
      </x:c>
      <x:c r="M58" s="28"/>
      <x:c r="N58" s="24" t="str">
        <x:v>保留原范围；独立审核未执行</x:v>
      </x:c>
    </x:row>
    <x:row r="59" ht="100" customHeight="1">
      <x:c r="A59" s="12" t="str">
        <x:v>DEV-055</x:v>
      </x:c>
      <x:c r="B59" s="12" t="str">
        <x:v>CRAWL-02</x:v>
      </x:c>
      <x:c r="C59" s="12" t="str">
        <x:v>M5</x:v>
      </x:c>
      <x:c r="D59" s="12" t="str">
        <x:v>主题定向采集与列表分页策略</x:v>
      </x:c>
      <x:c r="E59" s="24" t="str">
        <x:v>采集/解析</x:v>
      </x:c>
      <x:c r="F59" s="12" t="str">
        <x:v>DEV-028, DEV-045</x:v>
      </x:c>
      <x:c r="G59" s="26" t="n">
        <x:v>5</x:v>
      </x:c>
      <x:c r="H59" s="26" t="n">
        <x:v>9</x:v>
      </x:c>
      <x:c r="I59" s="24" t="str">
        <x:v>未开始</x:v>
      </x:c>
      <x:c r="J59" s="12" t="str">
        <x:v>FT-055</x:v>
      </x:c>
      <x:c r="K59" s="12" t="str">
        <x:v>优先队列与覆盖诊断</x:v>
      </x:c>
      <x:c r="L59" s="12" t="str">
        <x:v>优先级不能突破scope/robots/预算；停止条件可解释；不自发整网遍历。</x:v>
      </x:c>
      <x:c r="M59" s="28"/>
      <x:c r="N59" s="24" t="str">
        <x:v>保留原范围；独立审核未执行</x:v>
      </x:c>
    </x:row>
    <x:row r="60" ht="100" customHeight="1">
      <x:c r="A60" s="12" t="str">
        <x:v>DEV-056</x:v>
      </x:c>
      <x:c r="B60" s="12" t="str">
        <x:v>CODE-01</x:v>
      </x:c>
      <x:c r="C60" s="12" t="str">
        <x:v>M5</x:v>
      </x:c>
      <x:c r="D60" s="12" t="str">
        <x:v>代码与技术文档专门检索</x:v>
      </x:c>
      <x:c r="E60" s="24" t="str">
        <x:v>垂直检索</x:v>
      </x:c>
      <x:c r="F60" s="12" t="str">
        <x:v>DEV-046, DEV-014, DEV-025</x:v>
      </x:c>
      <x:c r="G60" s="26" t="n">
        <x:v>7</x:v>
      </x:c>
      <x:c r="H60" s="26" t="n">
        <x:v>12</x:v>
      </x:c>
      <x:c r="I60" s="24" t="str">
        <x:v>未开始</x:v>
      </x:c>
      <x:c r="J60" s="12" t="str">
        <x:v>FT-056, B-29</x:v>
      </x:c>
      <x:c r="K60" s="12" t="str">
        <x:v>repo/path/lang/commit/line/symbol字段</x:v>
      </x:c>
      <x:c r="L60" s="12" t="str">
        <x:v>函数符号/错误码/版本号可检索；同文件不同commit分开；无通用编译级语义保证。</x:v>
      </x:c>
      <x:c r="M60" s="28"/>
      <x:c r="N60" s="24" t="str">
        <x:v>保留原范围；独立审核未执行</x:v>
      </x:c>
    </x:row>
    <x:row r="61" ht="100" customHeight="1">
      <x:c r="A61" s="12" t="str">
        <x:v>DEV-057</x:v>
      </x:c>
      <x:c r="B61" s="12" t="str">
        <x:v>SCHOLAR-01</x:v>
      </x:c>
      <x:c r="C61" s="12" t="str">
        <x:v>M5</x:v>
      </x:c>
      <x:c r="D61" s="12" t="str">
        <x:v>论文/数据集检索与标识消歧</x:v>
      </x:c>
      <x:c r="E61" s="24" t="str">
        <x:v>垂直检索</x:v>
      </x:c>
      <x:c r="F61" s="12" t="str">
        <x:v>DEV-053, DEV-012, DEV-025</x:v>
      </x:c>
      <x:c r="G61" s="26" t="n">
        <x:v>6</x:v>
      </x:c>
      <x:c r="H61" s="26" t="n">
        <x:v>10</x:v>
      </x:c>
      <x:c r="I61" s="24" t="str">
        <x:v>未开始</x:v>
      </x:c>
      <x:c r="J61" s="12" t="str">
        <x:v>FT-057, B-30</x:v>
      </x:c>
      <x:c r="K61" s="12" t="str">
        <x:v>作者/年份/版本/引用关系和可读状态</x:v>
      </x:c>
      <x:c r="L61" s="12" t="str">
        <x:v>元数据免费不伪称正文可读；DOI归一不混版本；没有来源支持时状态unknown。</x:v>
      </x:c>
      <x:c r="M61" s="28"/>
      <x:c r="N61" s="24" t="str">
        <x:v>保留原范围；独立审核未执行</x:v>
      </x:c>
    </x:row>
    <x:row r="62" ht="100" customHeight="1">
      <x:c r="A62" s="12" t="str">
        <x:v>DEV-058</x:v>
      </x:c>
      <x:c r="B62" s="12" t="str">
        <x:v>PRIVATE-01</x:v>
      </x:c>
      <x:c r="C62" s="12" t="str">
        <x:v>M5</x:v>
      </x:c>
      <x:c r="D62" s="12" t="str">
        <x:v>本地文件与授权私人资料导入</x:v>
      </x:c>
      <x:c r="E62" s="24" t="str">
        <x:v>内容/安全</x:v>
      </x:c>
      <x:c r="F62" s="12" t="str">
        <x:v>DEV-025, DEV-031, DEV-007</x:v>
      </x:c>
      <x:c r="G62" s="26" t="n">
        <x:v>7</x:v>
      </x:c>
      <x:c r="H62" s="26" t="n">
        <x:v>12</x:v>
      </x:c>
      <x:c r="I62" s="24" t="str">
        <x:v>未开始</x:v>
      </x:c>
      <x:c r="J62" s="12" t="str">
        <x:v>FT-058, B-31</x:v>
      </x:c>
      <x:c r="K62" s="12" t="str">
        <x:v>导入任务、增量状态与私有索引</x:v>
      </x:c>
      <x:c r="L62" s="12" t="str">
        <x:v>网页不能调用任意file://；文件移走/撤权触发删除；私有查询不自动外发。</x:v>
      </x:c>
      <x:c r="M62" s="28"/>
      <x:c r="N62" s="24" t="str">
        <x:v>保留原范围；独立审核未执行</x:v>
      </x:c>
    </x:row>
    <x:row r="63" ht="100" customHeight="1">
      <x:c r="A63" s="12" t="str">
        <x:v>DEV-059</x:v>
      </x:c>
      <x:c r="B63" s="12" t="str">
        <x:v>SRC-06</x:v>
      </x:c>
      <x:c r="C63" s="12" t="str">
        <x:v>M5</x:v>
      </x:c>
      <x:c r="D63" s="12" t="str">
        <x:v>免费来源扩充与维护工作台</x:v>
      </x:c>
      <x:c r="E63" s="24" t="str">
        <x:v>搜索适配</x:v>
      </x:c>
      <x:c r="F63" s="12" t="str">
        <x:v>DEV-041, DEV-057</x:v>
      </x:c>
      <x:c r="G63" s="26" t="n">
        <x:v>8</x:v>
      </x:c>
      <x:c r="H63" s="26" t="n">
        <x:v>16</x:v>
      </x:c>
      <x:c r="I63" s="24" t="str">
        <x:v>未开始</x:v>
      </x:c>
      <x:c r="J63" s="12" t="str">
        <x:v>FT-059</x:v>
      </x:c>
      <x:c r="K63" s="12" t="str">
        <x:v>扩展适配包、回归状态和停用清单</x:v>
      </x:c>
      <x:c r="L63" s="12" t="str">
        <x:v>新增源有可测增量或明确垂直价值；数量不替代质量；超出数量按单位适配工量另排。</x:v>
      </x:c>
      <x:c r="M63" s="28"/>
      <x:c r="N63" s="24" t="str">
        <x:v>保留原范围；独立审核未执行</x:v>
      </x:c>
    </x:row>
    <x:row r="64" ht="100" customHeight="1">
      <x:c r="A64" s="12" t="str">
        <x:v>DEV-060</x:v>
      </x:c>
      <x:c r="B64" s="12" t="str">
        <x:v>DOC-02</x:v>
      </x:c>
      <x:c r="C64" s="12" t="str">
        <x:v>M6</x:v>
      </x:c>
      <x:c r="D64" s="12" t="str">
        <x:v>OCR、复杂版面与视觉辅助读取</x:v>
      </x:c>
      <x:c r="E64" s="24" t="str">
        <x:v>多模态/解析</x:v>
      </x:c>
      <x:c r="F64" s="12" t="str">
        <x:v>DEV-025, DEV-044, DEV-047</x:v>
      </x:c>
      <x:c r="G64" s="26" t="n">
        <x:v>8</x:v>
      </x:c>
      <x:c r="H64" s="26" t="n">
        <x:v>14</x:v>
      </x:c>
      <x:c r="I64" s="24" t="str">
        <x:v>未开始</x:v>
      </x:c>
      <x:c r="J64" s="12" t="str">
        <x:v>FT-060, B-35</x:v>
      </x:c>
      <x:c r="K64" s="12" t="str">
        <x:v>识别正文、页/区域坐标、质量状态</x:v>
      </x:c>
      <x:c r="L64" s="12" t="str">
        <x:v>OCR文本不冒充原生文字；定位回页面而非声称识别绝对正确；无收费OCR回退。</x:v>
      </x:c>
      <x:c r="M64" s="28"/>
      <x:c r="N64" s="24" t="str">
        <x:v>保留原范围；独立审核未执行</x:v>
      </x:c>
    </x:row>
    <x:row r="65" ht="100" customHeight="1">
      <x:c r="A65" s="12" t="str">
        <x:v>DEV-061</x:v>
      </x:c>
      <x:c r="B65" s="12" t="str">
        <x:v>IMAGE-01</x:v>
      </x:c>
      <x:c r="C65" s="12" t="str">
        <x:v>M6</x:v>
      </x:c>
      <x:c r="D65" s="12" t="str">
        <x:v>图片检索与图片资产索引</x:v>
      </x:c>
      <x:c r="E65" s="24" t="str">
        <x:v>多模态/检索</x:v>
      </x:c>
      <x:c r="F65" s="12" t="str">
        <x:v>DEV-046, DEV-059</x:v>
      </x:c>
      <x:c r="G65" s="26" t="n">
        <x:v>6</x:v>
      </x:c>
      <x:c r="H65" s="26" t="n">
        <x:v>10</x:v>
      </x:c>
      <x:c r="I65" s="24" t="str">
        <x:v>未开始</x:v>
      </x:c>
      <x:c r="J65" s="12" t="str">
        <x:v>FT-061, B-33</x:v>
      </x:c>
      <x:c r="K65" s="12" t="str">
        <x:v>image_url、landing_url、尺寸、文本、权利信息</x:v>
      </x:c>
      <x:c r="L65" s="12" t="str">
        <x:v>缩略图不冒充原图；公开可见不等于可再分发；图片维度与类型校验。</x:v>
      </x:c>
      <x:c r="M65" s="28"/>
      <x:c r="N65" s="24" t="str">
        <x:v>保留原范围；独立审核未执行</x:v>
      </x:c>
    </x:row>
    <x:row r="66" ht="100" customHeight="1">
      <x:c r="A66" s="12" t="str">
        <x:v>DEV-062</x:v>
      </x:c>
      <x:c r="B66" s="12" t="str">
        <x:v>IMAGE-02</x:v>
      </x:c>
      <x:c r="C66" s="12" t="str">
        <x:v>M6</x:v>
      </x:c>
      <x:c r="D66" s="12" t="str">
        <x:v>以图搜图、近重复与文本搜图</x:v>
      </x:c>
      <x:c r="E66" s="24" t="str">
        <x:v>多模态/检索</x:v>
      </x:c>
      <x:c r="F66" s="12" t="str">
        <x:v>DEV-061, DEV-060</x:v>
      </x:c>
      <x:c r="G66" s="26" t="n">
        <x:v>8</x:v>
      </x:c>
      <x:c r="H66" s="26" t="n">
        <x:v>14</x:v>
      </x:c>
      <x:c r="I66" s="24" t="str">
        <x:v>未开始</x:v>
      </x:c>
      <x:c r="J66" s="12" t="str">
        <x:v>FT-062, B-32</x:v>
      </x:c>
      <x:c r="K66" s="12" t="str">
        <x:v>重复组、视觉/语义近邻、证据</x:v>
      </x:c>
      <x:c r="L66" s="12" t="str">
        <x:v>没有外部反向源时明确只搜自有图库；不把相似视为同一；不得暗传图片。</x:v>
      </x:c>
      <x:c r="M66" s="28"/>
      <x:c r="N66" s="24" t="str">
        <x:v>保留原范围；独立审核未执行</x:v>
      </x:c>
    </x:row>
    <x:row r="67" ht="100" customHeight="1">
      <x:c r="A67" s="12" t="str">
        <x:v>DEV-063</x:v>
      </x:c>
      <x:c r="B67" s="12" t="str">
        <x:v>AV-01</x:v>
      </x:c>
      <x:c r="C67" s="12" t="str">
        <x:v>M6</x:v>
      </x:c>
      <x:c r="D67" s="12" t="str">
        <x:v>视频音频搜索与字幕时间戳检索</x:v>
      </x:c>
      <x:c r="E67" s="24" t="str">
        <x:v>多模态/检索</x:v>
      </x:c>
      <x:c r="F67" s="12" t="str">
        <x:v>DEV-059, DEV-047, DEV-046</x:v>
      </x:c>
      <x:c r="G67" s="26" t="n">
        <x:v>8</x:v>
      </x:c>
      <x:c r="H67" s="26" t="n">
        <x:v>13</x:v>
      </x:c>
      <x:c r="I67" s="24" t="str">
        <x:v>未开始</x:v>
      </x:c>
      <x:c r="J67" s="12" t="str">
        <x:v>FT-063, B-34</x:v>
      </x:c>
      <x:c r="K67" s="12" t="str">
        <x:v>资产、时间段、字幕命中与播放定位</x:v>
      </x:c>
      <x:c r="L67" s="12" t="str">
        <x:v>找到视频不冒充已理解；时间戳命中可回放验证；无法获取媒体仍可返回链接元数据。</x:v>
      </x:c>
      <x:c r="M67" s="28"/>
      <x:c r="N67" s="24" t="str">
        <x:v>保留原范围；独立审核未执行</x:v>
      </x:c>
    </x:row>
    <x:row r="68" ht="100" customHeight="1">
      <x:c r="A68" s="12" t="str">
        <x:v>DEV-064</x:v>
      </x:c>
      <x:c r="B68" s="12" t="str">
        <x:v>AV-02</x:v>
      </x:c>
      <x:c r="C68" s="12" t="str">
        <x:v>M6</x:v>
      </x:c>
      <x:c r="D68" s="12" t="str">
        <x:v>转写、关键帧与视频内容理解</x:v>
      </x:c>
      <x:c r="E68" s="24" t="str">
        <x:v>多模态/解析</x:v>
      </x:c>
      <x:c r="F68" s="12" t="str">
        <x:v>DEV-063, DEV-044, DEV-060</x:v>
      </x:c>
      <x:c r="G68" s="26" t="n">
        <x:v>10</x:v>
      </x:c>
      <x:c r="H68" s="26" t="n">
        <x:v>18</x:v>
      </x:c>
      <x:c r="I68" s="24" t="str">
        <x:v>未开始</x:v>
      </x:c>
      <x:c r="J68" s="12" t="str">
        <x:v>FT-064, B-34</x:v>
      </x:c>
      <x:c r="K68" s="12" t="str">
        <x:v>转写、关键帧描述、片段级证据</x:v>
      </x:c>
      <x:c r="L68" s="12" t="str">
        <x:v>转写与原字幕分开；视频采样不能声称每帧检查；长媒体有时长/显存/资源限额；无模型则能力缺失。</x:v>
      </x:c>
      <x:c r="M68" s="28"/>
      <x:c r="N68" s="24" t="str">
        <x:v>保留原范围；独立审核未执行</x:v>
      </x:c>
    </x:row>
    <x:row r="69" ht="100" customHeight="1">
      <x:c r="A69" s="12" t="str">
        <x:v>DEV-065</x:v>
      </x:c>
      <x:c r="B69" s="12" t="str">
        <x:v>UPDATE-01</x:v>
      </x:c>
      <x:c r="C69" s="12" t="str">
        <x:v>M7</x:v>
      </x:c>
      <x:c r="D69" s="12" t="str">
        <x:v>网页快照变化与增量刷新</x:v>
      </x:c>
      <x:c r="E69" s="24" t="str">
        <x:v>采集/内容</x:v>
      </x:c>
      <x:c r="F69" s="12" t="str">
        <x:v>DEV-031, DEV-032, DEV-049</x:v>
      </x:c>
      <x:c r="G69" s="26" t="n">
        <x:v>5</x:v>
      </x:c>
      <x:c r="H69" s="26" t="n">
        <x:v>9</x:v>
      </x:c>
      <x:c r="I69" s="24" t="str">
        <x:v>未开始</x:v>
      </x:c>
      <x:c r="J69" s="12" t="str">
        <x:v>FT-065</x:v>
      </x:c>
      <x:c r="K69" s="12" t="str">
        <x:v>版本差异与字段变更</x:v>
      </x:c>
      <x:c r="L69" s="12" t="str">
        <x:v>超时/403不当删除；304仅更新checked_at；改变解析器不伪称网页改动。</x:v>
      </x:c>
      <x:c r="M69" s="28"/>
      <x:c r="N69" s="24" t="str">
        <x:v>保留原范围；独立审核未执行</x:v>
      </x:c>
    </x:row>
    <x:row r="70" ht="100" customHeight="1">
      <x:c r="A70" s="12" t="str">
        <x:v>DEV-066</x:v>
      </x:c>
      <x:c r="B70" s="12" t="str">
        <x:v>WORKSPACE-01</x:v>
      </x:c>
      <x:c r="C70" s="12" t="str">
        <x:v>M7</x:v>
      </x:c>
      <x:c r="D70" s="12" t="str">
        <x:v>历史、收藏、标签与搜索工作区</x:v>
      </x:c>
      <x:c r="E70" s="24" t="str">
        <x:v>API/UI</x:v>
      </x:c>
      <x:c r="F70" s="12" t="str">
        <x:v>DEV-040, DEV-007, DEV-048</x:v>
      </x:c>
      <x:c r="G70" s="26" t="n">
        <x:v>6</x:v>
      </x:c>
      <x:c r="H70" s="26" t="n">
        <x:v>10</x:v>
      </x:c>
      <x:c r="I70" s="24" t="str">
        <x:v>未开始</x:v>
      </x:c>
      <x:c r="J70" s="12" t="str">
        <x:v>FT-066</x:v>
      </x:c>
      <x:c r="K70" s="12" t="str">
        <x:v>可继续的工作区与收藏</x:v>
      </x:c>
      <x:c r="L70" s="12" t="str">
        <x:v>收藏不自动授权永久保存正文；删除历史不删用户另存集合；共享不越权。</x:v>
      </x:c>
      <x:c r="M70" s="28"/>
      <x:c r="N70" s="24" t="str">
        <x:v>保留原范围；独立审核未执行</x:v>
      </x:c>
    </x:row>
    <x:row r="71" ht="100" customHeight="1">
      <x:c r="A71" s="12" t="str">
        <x:v>DEV-067</x:v>
      </x:c>
      <x:c r="B71" s="12" t="str">
        <x:v>PREF-01</x:v>
      </x:c>
      <x:c r="C71" s="12" t="str">
        <x:v>M7</x:v>
      </x:c>
      <x:c r="D71" s="12" t="str">
        <x:v>排序偏好、站点屏蔽与隐私开关</x:v>
      </x:c>
      <x:c r="E71" s="24" t="str">
        <x:v>API/UI</x:v>
      </x:c>
      <x:c r="F71" s="12" t="str">
        <x:v>DEV-038, DEV-066</x:v>
      </x:c>
      <x:c r="G71" s="26" t="n">
        <x:v>4</x:v>
      </x:c>
      <x:c r="H71" s="26" t="n">
        <x:v>7</x:v>
      </x:c>
      <x:c r="I71" s="24" t="str">
        <x:v>未开始</x:v>
      </x:c>
      <x:c r="J71" s="12" t="str">
        <x:v>FT-067, B-17</x:v>
      </x:c>
      <x:c r="K71" s="12" t="str">
        <x:v>版本化偏好与可撤回排序</x:v>
      </x:c>
      <x:c r="L71" s="12" t="str">
        <x:v>硬条件优先；切换偏好形成新结果版本；关闭个性化恢复基线。</x:v>
      </x:c>
      <x:c r="M71" s="28"/>
      <x:c r="N71" s="24" t="str">
        <x:v>保留原范围；独立审核未执行</x:v>
      </x:c>
    </x:row>
    <x:row r="72" ht="100" customHeight="1">
      <x:c r="A72" s="12" t="str">
        <x:v>DEV-068</x:v>
      </x:c>
      <x:c r="B72" s="12" t="str">
        <x:v>WATCH-01</x:v>
      </x:c>
      <x:c r="C72" s="12" t="str">
        <x:v>M7</x:v>
      </x:c>
      <x:c r="D72" s="12" t="str">
        <x:v>保存查询、订阅新增与更新监控</x:v>
      </x:c>
      <x:c r="E72" s="24" t="str">
        <x:v>工作流</x:v>
      </x:c>
      <x:c r="F72" s="12" t="str">
        <x:v>DEV-065, DEV-066, DEV-005</x:v>
      </x:c>
      <x:c r="G72" s="26" t="n">
        <x:v>8</x:v>
      </x:c>
      <x:c r="H72" s="26" t="n">
        <x:v>14</x:v>
      </x:c>
      <x:c r="I72" s="24" t="str">
        <x:v>未开始</x:v>
      </x:c>
      <x:c r="J72" s="12" t="str">
        <x:v>FT-068, B-36, C-12</x:v>
      </x:c>
      <x:c r="K72" s="12" t="str">
        <x:v>订阅、运行记录、去重通知</x:v>
      </x:c>
      <x:c r="L72" s="12" t="str">
        <x:v>停机补跑有catch-up上限；时区/DST行为明确；只通知新增或新满足条件；不借监控绕过上游限流。 两源一成一败后恢复不漏失败源内容；重试通知沿用event_id；不保证外部收件方恰好一次。</x:v>
      </x:c>
      <x:c r="M72" s="28"/>
      <x:c r="N72" s="24" t="str">
        <x:v>复核修订：RV-12；独立审核未执行</x:v>
      </x:c>
    </x:row>
    <x:row r="73" ht="100" customHeight="1">
      <x:c r="A73" s="12" t="str">
        <x:v>DEV-069</x:v>
      </x:c>
      <x:c r="B73" s="12" t="str">
        <x:v>EXPORT-01</x:v>
      </x:c>
      <x:c r="C73" s="12" t="str">
        <x:v>M7</x:v>
      </x:c>
      <x:c r="D73" s="12" t="str">
        <x:v>搜索结果、证据与资料集导出</x:v>
      </x:c>
      <x:c r="E73" s="24" t="str">
        <x:v>API/UI</x:v>
      </x:c>
      <x:c r="F73" s="12" t="str">
        <x:v>DEV-066, DEV-053</x:v>
      </x:c>
      <x:c r="G73" s="26" t="n">
        <x:v>5</x:v>
      </x:c>
      <x:c r="H73" s="26" t="n">
        <x:v>8</x:v>
      </x:c>
      <x:c r="I73" s="24" t="str">
        <x:v>未开始</x:v>
      </x:c>
      <x:c r="J73" s="12" t="str">
        <x:v>FT-069, B-37</x:v>
      </x:c>
      <x:c r="K73" s="12" t="str">
        <x:v>JSON/JSONL/CSV/Markdown/引用格式</x:v>
      </x:c>
      <x:c r="L73" s="12" t="str">
        <x:v>导出时再次鉴权；不泄露Cookie/密钥；导出引用可定位；删除撤权后的旧导出按保留策略失效。</x:v>
      </x:c>
      <x:c r="M73" s="28"/>
      <x:c r="N73" s="24" t="str">
        <x:v>保留原范围；独立审核未执行</x:v>
      </x:c>
    </x:row>
    <x:row r="74" ht="100" customHeight="1">
      <x:c r="A74" s="12" t="str">
        <x:v>DEV-070</x:v>
      </x:c>
      <x:c r="B74" s="12" t="str">
        <x:v>WEBHOOK-01</x:v>
      </x:c>
      <x:c r="C74" s="12" t="str">
        <x:v>M7</x:v>
      </x:c>
      <x:c r="D74" s="12" t="str">
        <x:v>通知出口与Webhook</x:v>
      </x:c>
      <x:c r="E74" s="24" t="str">
        <x:v>工作流/安全</x:v>
      </x:c>
      <x:c r="F74" s="12" t="str">
        <x:v>DEV-068, DEV-069, DEV-004</x:v>
      </x:c>
      <x:c r="G74" s="26" t="n">
        <x:v>4</x:v>
      </x:c>
      <x:c r="H74" s="26" t="n">
        <x:v>7</x:v>
      </x:c>
      <x:c r="I74" s="24" t="str">
        <x:v>未开始</x:v>
      </x:c>
      <x:c r="J74" s="12" t="str">
        <x:v>FT-070, B-37, C-12</x:v>
      </x:c>
      <x:c r="K74" s="12" t="str">
        <x:v>签名事件、重试与死信</x:v>
      </x:c>
      <x:c r="L74" s="12" t="str">
        <x:v>DNS变化与重定向同样检查；payload不包含未授权正文；失败不重复计一次新事件。</x:v>
      </x:c>
      <x:c r="M74" s="28"/>
      <x:c r="N74" s="24" t="str">
        <x:v>复核修订：RV-12；独立审核未执行</x:v>
      </x:c>
    </x:row>
    <x:row r="75" ht="100" customHeight="1">
      <x:c r="A75" s="12" t="str">
        <x:v>DEV-071</x:v>
      </x:c>
      <x:c r="B75" s="12" t="str">
        <x:v>API-01</x:v>
      </x:c>
      <x:c r="C75" s="12" t="str">
        <x:v>M7</x:v>
      </x:c>
      <x:c r="D75" s="12" t="str">
        <x:v>完整协议覆盖、版本迁移与扩展接口收尾</x:v>
      </x:c>
      <x:c r="E75" s="24" t="str">
        <x:v>API/核心</x:v>
      </x:c>
      <x:c r="F75" s="12" t="str">
        <x:v>DEV-078, DEV-051, DEV-062, DEV-064, DEV-069</x:v>
      </x:c>
      <x:c r="G75" s="26" t="n">
        <x:v>4</x:v>
      </x:c>
      <x:c r="H75" s="26" t="n">
        <x:v>7</x:v>
      </x:c>
      <x:c r="I75" s="24" t="str">
        <x:v>未开始</x:v>
      </x:c>
      <x:c r="J75" s="12" t="str">
        <x:v>FT-071, B-40, C-01</x:v>
      </x:c>
      <x:c r="K75" s="12" t="str">
        <x:v>版本化API、MCP工具、CLI、Skills说明</x:v>
      </x:c>
      <x:c r="L75" s="12" t="str">
        <x:v>CLI/HTTP/MCP同请求结果语义一致；原生插件视为可信代码；不为每个协议实现一套逻辑。 跨协议完成矩阵逐项对照已实现功能；旧版本兼容与故意非法请求有回归。</x:v>
      </x:c>
      <x:c r="M75" s="28"/>
      <x:c r="N75" s="24" t="str">
        <x:v>复核修订：RV-01；独立审核未执行</x:v>
      </x:c>
    </x:row>
    <x:row r="76" ht="100" customHeight="1">
      <x:c r="A76" s="12" t="str">
        <x:v>DEV-072</x:v>
      </x:c>
      <x:c r="B76" s="12" t="str">
        <x:v>UI-02</x:v>
      </x:c>
      <x:c r="C76" s="12" t="str">
        <x:v>M7</x:v>
      </x:c>
      <x:c r="D76" s="12" t="str">
        <x:v>完整搜索/资料/爬虫/研究操作台</x:v>
      </x:c>
      <x:c r="E76" s="24" t="str">
        <x:v>API/UI</x:v>
      </x:c>
      <x:c r="F76" s="12" t="str">
        <x:v>DEV-071, DEV-067, DEV-070</x:v>
      </x:c>
      <x:c r="G76" s="26" t="n">
        <x:v>8</x:v>
      </x:c>
      <x:c r="H76" s="26" t="n">
        <x:v>14</x:v>
      </x:c>
      <x:c r="I76" s="24" t="str">
        <x:v>未开始</x:v>
      </x:c>
      <x:c r="J76" s="12" t="str">
        <x:v>FT-072, B-40</x:v>
      </x:c>
      <x:c r="K76" s="12" t="str">
        <x:v>多类型结果页、资料阅读器、任务与模型配置台</x:v>
      </x:c>
      <x:c r="L76" s="12" t="str">
        <x:v>在慢源/错误/部分结果下仍可操作；所有功能有空态与错误态；无只好看不可用入口。</x:v>
      </x:c>
      <x:c r="M76" s="28"/>
      <x:c r="N76" s="24" t="str">
        <x:v>保留原范围；独立审核未执行</x:v>
      </x:c>
    </x:row>
    <x:row r="77" ht="100" customHeight="1">
      <x:c r="A77" s="12" t="str">
        <x:v>DEV-073</x:v>
      </x:c>
      <x:c r="B77" s="12" t="str">
        <x:v>OPS-01</x:v>
      </x:c>
      <x:c r="C77" s="12" t="str">
        <x:v>M8</x:v>
      </x:c>
      <x:c r="D77" s="12" t="str">
        <x:v>观测、诊断与资源容量基线</x:v>
      </x:c>
      <x:c r="E77" s="24" t="str">
        <x:v>平台/测试</x:v>
      </x:c>
      <x:c r="F77" s="12" t="str">
        <x:v>DEV-079, DEV-042, DEV-072</x:v>
      </x:c>
      <x:c r="G77" s="26" t="n">
        <x:v>3</x:v>
      </x:c>
      <x:c r="H77" s="26" t="n">
        <x:v>5</x:v>
      </x:c>
      <x:c r="I77" s="24" t="str">
        <x:v>未开始</x:v>
      </x:c>
      <x:c r="J77" s="12" t="str">
        <x:v>FT-073, C-03</x:v>
      </x:c>
      <x:c r="K77" s="12" t="str">
        <x:v>来源、读取、索引、模型、会话指标</x:v>
      </x:c>
      <x:c r="L77" s="12" t="str">
        <x:v>性能分冷热缓存/页面类别/模型条件；不以框架宣传QPS当产品指标。 原始测量绑定commit/机器/负载/模型配置；无URL或query高基数标签。</x:v>
      </x:c>
      <x:c r="M77" s="28"/>
      <x:c r="N77" s="24" t="str">
        <x:v>复核修订：RV-03；独立审核未执行</x:v>
      </x:c>
    </x:row>
    <x:row r="78" ht="100" customHeight="1">
      <x:c r="A78" s="12" t="str">
        <x:v>DEV-074</x:v>
      </x:c>
      <x:c r="B78" s="12" t="str">
        <x:v>OPS-02</x:v>
      </x:c>
      <x:c r="C78" s="12" t="str">
        <x:v>M8</x:v>
      </x:c>
      <x:c r="D78" s="12" t="str">
        <x:v>备份恢复、迁移与内容保留</x:v>
      </x:c>
      <x:c r="E78" s="24" t="str">
        <x:v>存储/平台</x:v>
      </x:c>
      <x:c r="F78" s="12" t="str">
        <x:v>DEV-080, DEV-031, DEV-068</x:v>
      </x:c>
      <x:c r="G78" s="26" t="n">
        <x:v>4</x:v>
      </x:c>
      <x:c r="H78" s="26" t="n">
        <x:v>6</x:v>
      </x:c>
      <x:c r="I78" s="24" t="str">
        <x:v>未开始</x:v>
      </x:c>
      <x:c r="J78" s="12" t="str">
        <x:v>FT-074, B-38, C-03, C-11</x:v>
      </x:c>
      <x:c r="K78" s="12" t="str">
        <x:v>一致性备份、恢复演练和迁移脚本</x:v>
      </x:c>
      <x:c r="L78" s="12" t="str">
        <x:v>不是直接复制运行中的DB文件；恢复后权限/删除仍有效；坏索引可独立重建。 恢复副本验证最新撤销水位后才能退出隔离；测试新旧Schema/FTS/向量重建。</x:v>
      </x:c>
      <x:c r="M78" s="28"/>
      <x:c r="N78" s="24" t="str">
        <x:v>复核修订：RV-03, RV-11；独立审核未执行</x:v>
      </x:c>
    </x:row>
    <x:row r="79" ht="100" customHeight="1">
      <x:c r="A79" s="12" t="str">
        <x:v>DEV-075</x:v>
      </x:c>
      <x:c r="B79" s="12" t="str">
        <x:v>SCALE-01</x:v>
      </x:c>
      <x:c r="C79" s="12" t="str">
        <x:v>M8</x:v>
      </x:c>
      <x:c r="D79" s="12" t="str">
        <x:v>多工作节点与公平调度</x:v>
      </x:c>
      <x:c r="E79" s="24" t="str">
        <x:v>核心平台</x:v>
      </x:c>
      <x:c r="F79" s="12" t="str">
        <x:v>DEV-073, DEV-005, DEV-074, DEV-078</x:v>
      </x:c>
      <x:c r="G79" s="26" t="n">
        <x:v>10</x:v>
      </x:c>
      <x:c r="H79" s="26" t="n">
        <x:v>18</x:v>
      </x:c>
      <x:c r="I79" s="24" t="str">
        <x:v>未开始</x:v>
      </x:c>
      <x:c r="J79" s="12" t="str">
        <x:v>FT-075, B-39</x:v>
      </x:c>
      <x:c r="K79" s="12" t="str">
        <x:v>远程worker、fencing、背压与全局限流</x:v>
      </x:c>
      <x:c r="L79" s="12" t="str">
        <x:v>失联节点不可继续提交；跨节点同源配额有效；多租户公平；不得把WAL放网络盘。</x:v>
      </x:c>
      <x:c r="M79" s="28"/>
      <x:c r="N79" s="24" t="str">
        <x:v>保留原范围；独立审核未执行</x:v>
      </x:c>
    </x:row>
    <x:row r="80" ht="100" customHeight="1">
      <x:c r="A80" s="12" t="str">
        <x:v>DEV-076</x:v>
      </x:c>
      <x:c r="B80" s="12" t="str">
        <x:v>QA-03</x:v>
      </x:c>
      <x:c r="C80" s="12" t="str">
        <x:v>M8</x:v>
      </x:c>
      <x:c r="D80" s="12" t="str">
        <x:v>安全/故障/多模态/端到端发布门禁</x:v>
      </x:c>
      <x:c r="E80" s="24" t="str">
        <x:v>测试/安全</x:v>
      </x:c>
      <x:c r="F80" s="12" t="str">
        <x:v>DEV-073, DEV-074, DEV-075</x:v>
      </x:c>
      <x:c r="G80" s="26" t="n">
        <x:v>8</x:v>
      </x:c>
      <x:c r="H80" s="26" t="n">
        <x:v>14</x:v>
      </x:c>
      <x:c r="I80" s="24" t="str">
        <x:v>未开始</x:v>
      </x:c>
      <x:c r="J80" s="12" t="str">
        <x:v>FT-076, B-40</x:v>
      </x:c>
      <x:c r="K80" s="12" t="str">
        <x:v>签字验收包与可复现报告</x:v>
      </x:c>
      <x:c r="L80" s="12" t="str">
        <x:v>安全/权限/约束/quote错误为阻断；多媒体和Windows不只跑空壳构建；报告风险与覆盖缺口。</x:v>
      </x:c>
      <x:c r="M80" s="28"/>
      <x:c r="N80" s="24" t="str">
        <x:v>保留原范围；独立审核未执行</x:v>
      </x:c>
    </x:row>
    <x:row r="81" ht="100" customHeight="1">
      <x:c r="A81" s="12" t="str">
        <x:v>DEV-077</x:v>
      </x:c>
      <x:c r="B81" s="12" t="str">
        <x:v>RELEASE-01</x:v>
      </x:c>
      <x:c r="C81" s="12" t="str">
        <x:v>M8</x:v>
      </x:c>
      <x:c r="D81" s="12" t="str">
        <x:v>可复现打包、升级与运维手册</x:v>
      </x:c>
      <x:c r="E81" s="24" t="str">
        <x:v>平台/交付</x:v>
      </x:c>
      <x:c r="F81" s="12" t="str">
        <x:v>DEV-076, DEV-001</x:v>
      </x:c>
      <x:c r="G81" s="26" t="n">
        <x:v>6</x:v>
      </x:c>
      <x:c r="H81" s="26" t="n">
        <x:v>10</x:v>
      </x:c>
      <x:c r="I81" s="24" t="str">
        <x:v>未开始</x:v>
      </x:c>
      <x:c r="J81" s="12" t="str">
        <x:v>FT-077, B-40</x:v>
      </x:c>
      <x:c r="K81" s="12" t="str">
        <x:v>Linux/Windows包、升级回滚与开发文档</x:v>
      </x:c>
      <x:c r="L81" s="12" t="str">
        <x:v>干净环境能按文档启动；旧数据升级/回滚演练；全部能力有任务映射及已实现清单。</x:v>
      </x:c>
      <x:c r="M81" s="28"/>
      <x:c r="N81" s="24" t="str">
        <x:v>保留原范围；独立审核未执行</x:v>
      </x:c>
    </x:row>
    <x:row r="82" ht="100" customHeight="1">
      <x:c r="A82" s="36" t="str">
        <x:v>DEV-078</x:v>
      </x:c>
      <x:c r="B82" s="36" t="str">
        <x:v>API-00</x:v>
      </x:c>
      <x:c r="C82" s="36" t="str">
        <x:v>M1</x:v>
      </x:c>
      <x:c r="D82" s="36" t="str">
        <x:v>基础HTTP/CLI/MCP合同与早期集成</x:v>
      </x:c>
      <x:c r="E82" s="36" t="str">
        <x:v>API/核心</x:v>
      </x:c>
      <x:c r="F82" s="36" t="str">
        <x:v>DEV-083, DEV-007, DEV-005, DEV-008</x:v>
      </x:c>
      <x:c r="G82" s="36" t="n">
        <x:v>4</x:v>
      </x:c>
      <x:c r="H82" s="36" t="n">
        <x:v>7</x:v>
      </x:c>
      <x:c r="I82" s="36" t="str">
        <x:v>未开始</x:v>
      </x:c>
      <x:c r="J82" s="36" t="str">
        <x:v>FT-078, C-01</x:v>
      </x:c>
      <x:c r="K82" s="36" t="str">
        <x:v>可测试的search/read/jobs端口、CLI/MCP最小适配、协议一致性样例</x:v>
      </x:c>
      <x:c r="L82" s="36" t="str">
        <x:v>同一授权请求在HTTP/CLI/MCP经过同一核心；无媒体验收依赖；能力未实现或禁用时明确返回不可用。</x:v>
      </x:c>
      <x:c r="M82" s="36"/>
      <x:c r="N82" s="36" t="str">
        <x:v>复核修订：RV-01；独立审核未执行</x:v>
      </x:c>
    </x:row>
    <x:row r="83" ht="100" customHeight="1">
      <x:c r="A83" s="36" t="str">
        <x:v>DEV-079</x:v>
      </x:c>
      <x:c r="B83" s="36" t="str">
        <x:v>OPS-00</x:v>
      </x:c>
      <x:c r="C83" s="36" t="str">
        <x:v>M0</x:v>
      </x:c>
      <x:c r="D83" s="36" t="str">
        <x:v>早期追踪、资源账本与诊断底座</x:v>
      </x:c>
      <x:c r="E83" s="36" t="str">
        <x:v>观测/核心</x:v>
      </x:c>
      <x:c r="F83" s="36" t="str">
        <x:v>DEV-003, DEV-005, DEV-007</x:v>
      </x:c>
      <x:c r="G83" s="36" t="n">
        <x:v>3</x:v>
      </x:c>
      <x:c r="H83" s="36" t="n">
        <x:v>5</x:v>
      </x:c>
      <x:c r="I83" s="36" t="str">
        <x:v>未开始</x:v>
      </x:c>
      <x:c r="J83" s="36" t="str">
        <x:v>FT-079, C-03</x:v>
      </x:c>
      <x:c r="K83" s="36" t="str">
        <x:v>关联ID、阶段事件、来源/读取/模型资源指标及脱敏日志</x:v>
      </x:c>
      <x:c r="L83" s="36" t="str">
        <x:v>单请求可串联授权/调度/获取/提交；超时和重试可解释；日志无密钥；指标样例的资源计数一致。</x:v>
      </x:c>
      <x:c r="M83" s="36"/>
      <x:c r="N83" s="36" t="str">
        <x:v>复核修订：RV-03；独立审核未执行</x:v>
      </x:c>
    </x:row>
    <x:row r="84" ht="100" customHeight="1">
      <x:c r="A84" s="36" t="str">
        <x:v>DEV-080</x:v>
      </x:c>
      <x:c r="B84" s="36" t="str">
        <x:v>BACKUP-00</x:v>
      </x:c>
      <x:c r="C84" s="36" t="str">
        <x:v>M0</x:v>
      </x:c>
      <x:c r="D84" s="36" t="str">
        <x:v>早期一致备份、恢复隔离与撤销水位</x:v>
      </x:c>
      <x:c r="E84" s="36" t="str">
        <x:v>存储/安全</x:v>
      </x:c>
      <x:c r="F84" s="36" t="str">
        <x:v>DEV-006, DEV-007, DEV-005, DEV-008</x:v>
      </x:c>
      <x:c r="G84" s="36" t="n">
        <x:v>4</x:v>
      </x:c>
      <x:c r="H84" s="36" t="n">
        <x:v>7</x:v>
      </x:c>
      <x:c r="I84" s="36" t="str">
        <x:v>未开始</x:v>
      </x:c>
      <x:c r="J84" s="36" t="str">
        <x:v>FT-080, C-03, C-11</x:v>
      </x:c>
      <x:c r="K84" s="36" t="str">
        <x:v>可恢复备份清单、独立撤销日志保护策略、隔离恢复工具</x:v>
      </x:c>
      <x:c r="L84" s="36" t="str">
        <x:v>M0恢复固定资料与任务；M2补FTS回放；M4补向量重建。删除前备份恢复后不能复活删除内容；撤销日志不可验证时保持隔离。</x:v>
      </x:c>
      <x:c r="M84" s="36"/>
      <x:c r="N84" s="36" t="str">
        <x:v>复核修订：RV-03, RV-11；独立审核未执行</x:v>
      </x:c>
    </x:row>
    <x:row r="85" ht="100" customHeight="1">
      <x:c r="A85" s="36" t="str">
        <x:v>DEV-081</x:v>
      </x:c>
      <x:c r="B85" s="36" t="str">
        <x:v>ROBOTS-01</x:v>
      </x:c>
      <x:c r="C85" s="36" t="str">
        <x:v>M1</x:v>
      </x:c>
      <x:c r="D85" s="36" t="str">
        <x:v>爬虫准入与robots前置策略</x:v>
      </x:c>
      <x:c r="E85" s="36" t="str">
        <x:v>采集/安全</x:v>
      </x:c>
      <x:c r="F85" s="36" t="str">
        <x:v>DEV-004, DEV-005, DEV-009, DEV-008</x:v>
      </x:c>
      <x:c r="G85" s="36" t="n">
        <x:v>3</x:v>
      </x:c>
      <x:c r="H85" s="36" t="n">
        <x:v>5</x:v>
      </x:c>
      <x:c r="I85" s="36" t="str">
        <x:v>未开始</x:v>
      </x:c>
      <x:c r="J85" s="36" t="str">
        <x:v>FT-081, C-02</x:v>
      </x:c>
      <x:c r="K85" s="36" t="str">
        <x:v>版本化robots决策、缓存和请求准入token</x:v>
      </x:c>
      <x:c r="L85" s="36" t="str">
        <x:v>未取得有效准入前不得发爬虫内容请求；robots访问本身受网络/总预算控制；网络或服务器不可达且无适用缓存时不放行。</x:v>
      </x:c>
      <x:c r="M85" s="36"/>
      <x:c r="N85" s="36" t="str">
        <x:v>复核修订：RV-02；独立审核未执行</x:v>
      </x:c>
    </x:row>
    <x:row r="86" ht="100" customHeight="1">
      <x:c r="A86" s="36" t="str">
        <x:v>DEV-082</x:v>
      </x:c>
      <x:c r="B86" s="36" t="str">
        <x:v>SPIKE-01</x:v>
      </x:c>
      <x:c r="C86" s="36" t="str">
        <x:v>M0</x:v>
      </x:c>
      <x:c r="D86" s="36" t="str">
        <x:v>关键技术可行性与版本冻结验证</x:v>
      </x:c>
      <x:c r="E86" s="36" t="str">
        <x:v>架构/平台</x:v>
      </x:c>
      <x:c r="F86" s="36" t="str">
        <x:v>DEV-003, DEV-004, DEV-008</x:v>
      </x:c>
      <x:c r="G86" s="36" t="n">
        <x:v>5</x:v>
      </x:c>
      <x:c r="H86" s="36" t="n">
        <x:v>8</x:v>
      </x:c>
      <x:c r="I86" s="36" t="str">
        <x:v>未开始</x:v>
      </x:c>
      <x:c r="J86" s="36" t="str">
        <x:v>FT-082, C-09, C-14</x:v>
      </x:c>
      <x:c r="K86" s="36" t="str">
        <x:v>ADR、可复现实验、版本/构建选项/许可证锁与能力缺口</x:v>
      </x:c>
      <x:c r="L86" s="36" t="str">
        <x:v>记录输入/环境/版本/步骤/失败；浏览器Windows隔离若未通过可继续无网与其他已验证能力，不得宣布Windows全功能通过。</x:v>
      </x:c>
      <x:c r="M86" s="36"/>
      <x:c r="N86" s="36" t="str">
        <x:v>复核修订：RV-09, RV-14；独立审核未执行</x:v>
      </x:c>
    </x:row>
    <x:row r="87" ht="100" customHeight="1">
      <x:c r="A87" s="36" t="str">
        <x:v>DEV-083</x:v>
      </x:c>
      <x:c r="B87" s="36" t="str">
        <x:v>CONTRACT-02</x:v>
      </x:c>
      <x:c r="C87" s="36" t="str">
        <x:v>M0</x:v>
      </x:c>
      <x:c r="D87" s="36" t="str">
        <x:v>可执行配置合同、默认值与负例校验</x:v>
      </x:c>
      <x:c r="E87" s="36" t="str">
        <x:v>合同/测试</x:v>
      </x:c>
      <x:c r="F87" s="36" t="str">
        <x:v>DEV-003, DEV-008</x:v>
      </x:c>
      <x:c r="G87" s="36" t="n">
        <x:v>3</x:v>
      </x:c>
      <x:c r="H87" s="36" t="n">
        <x:v>5</x:v>
      </x:c>
      <x:c r="I87" s="36" t="str">
        <x:v>未开始</x:v>
      </x:c>
      <x:c r="J87" s="36" t="str">
        <x:v>FT-083, C-04, C-05, C-06, C-16</x:v>
      </x:c>
      <x:c r="K87" s="36" t="str">
        <x:v>规范化器、结构/语义/授权分层校验合同、跨语言测试向量</x:v>
      </x:c>
      <x:c r="L87" s="36" t="str">
        <x:v>Python合同样例只作fixture；正式C++实现要通过同一测试向量。无模型配置、角色并发、无效日期、坏profile、深AST均有正负例。</x:v>
      </x:c>
      <x:c r="M87" s="36"/>
      <x:c r="N87" s="36" t="str">
        <x:v>复核修订：RV-04, RV-05, RV-06, RV-16；独立审核未执行</x:v>
      </x:c>
    </x:row>
  </x:sheetData>
  <x:mergeCells>
    <x:mergeCell ref="A1:N1"/>
    <x:mergeCell ref="A2:N2"/>
  </x:mergeCells>
  <x:conditionalFormatting sqref="I5:I81">
    <x:cfRule type="expression" dxfId="0" priority="1">
      <x:formula>I5="完成"</x:formula>
    </x:cfRule>
    <x:cfRule type="expression" dxfId="1" priority="2">
      <x:formula>I5="阻塞"</x:formula>
    </x:cfRule>
  </x:conditionalFormatting>
  <x:dataValidations count="2">
    <x:dataValidation type="list" sqref="I5:I81">
      <x:formula1>"未开始,进行中,待审查,阻塞,完成"</x:formula1>
    </x:dataValidation>
    <x:dataValidation type="list" sqref="I5:I87">
      <x:formula1>"未开始,进行中,阻塞,待审核,完成"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669b5a05c74a4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" hidden="0" customWidth="1"/>
    <x:col min="4" max="4" width="36" hidden="0" customWidth="1"/>
    <x:col min="5" max="5" width="38" hidden="0" customWidth="1"/>
    <x:col min="6" max="6" width="48" hidden="0" customWidth="1"/>
    <x:col min="7" max="7" width="27" hidden="0" customWidth="1"/>
    <x:col min="8" max="8" width="32" hidden="0" customWidth="1"/>
    <x:col min="9" max="9" width="48" hidden="0" customWidth="1"/>
  </x:cols>
  <x:sheetData>
    <x:row r="1" ht="34" customHeight="1">
      <x:c r="A1" s="3" t="str">
        <x:v>完整功能规格 · v0.3 · 83项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完整范围已纳入；每个功能关联一个DEV工作包，详细流程见Markdown规格与蓝图。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9" t="str">
        <x:v>功能ID</x:v>
      </x:c>
      <x:c r="B4" s="19" t="str">
        <x:v>名称</x:v>
      </x:c>
      <x:c r="C4" s="19" t="str">
        <x:v>阶段</x:v>
      </x:c>
      <x:c r="D4" s="19" t="str">
        <x:v>输入</x:v>
      </x:c>
      <x:c r="E4" s="19" t="str">
        <x:v>输出</x:v>
      </x:c>
      <x:c r="F4" s="19" t="str">
        <x:v>实现规则</x:v>
      </x:c>
      <x:c r="G4" s="19" t="str">
        <x:v>模型要求</x:v>
      </x:c>
      <x:c r="H4" s="19" t="str">
        <x:v>依赖功能</x:v>
      </x:c>
      <x:c r="I4" s="19" t="str">
        <x:v>验收条件</x:v>
      </x:c>
    </x:row>
    <x:row r="5" ht="130" customHeight="1">
      <x:c r="A5" s="12" t="str">
        <x:v>GOV-01</x:v>
      </x:c>
      <x:c r="B5" s="12" t="str">
        <x:v>需求边界、能力目录与许可证清单</x:v>
      </x:c>
      <x:c r="C5" s="12" t="str">
        <x:v>M0</x:v>
      </x:c>
      <x:c r="D5" s="12" t="str">
        <x:v>既定需求、参考项目功能、候选基础组件</x:v>
      </x:c>
      <x:c r="E5" s="12" t="str">
        <x:v>版本化需求、能力清单、ADR、依赖和许可记录</x:v>
      </x:c>
      <x:c r="F5" s="12" t="str">
        <x:v>建立需求→任务→验收追踪；划分付费搜索禁用与用户模型例外；不复用四个参考产品后端。 审查身份/执行方式/冻结输入哈希必须真实记录；作者自审不得计为独立Review通过。独立审核未完成不阻止离线工程准备，但不得据此签署关键合同发布。</x:v>
      </x:c>
      <x:c r="G5" s="12" t="str">
        <x:v>不需要模型</x:v>
      </x:c>
      <x:c r="H5" s="12" t="str"/>
      <x:c r="I5" s="12" t="str">
        <x:v>无参考产品运行依赖；未实现能力不对外宣告；依赖记录包含版本/来源/许可/替换策略。 审核状态与实现状态独立；外部审查报告须能对应输入版本、reviewer_id与实际工具运行，不可凭角色提示词伪造。</x:v>
      </x:c>
    </x:row>
    <x:row r="6" ht="130" customHeight="1">
      <x:c r="A6" s="12" t="str">
        <x:v>CORE-01</x:v>
      </x:c>
      <x:c r="B6" s="12" t="str">
        <x:v>C++工程骨架与跨平台构建</x:v>
      </x:c>
      <x:c r="C6" s="12" t="str">
        <x:v>M0</x:v>
      </x:c>
      <x:c r="D6" s="12" t="str">
        <x:v>编译目标、目录约定</x:v>
      </x:c>
      <x:c r="E6" s="12" t="str">
        <x:v>CMake工程、CLI/API空壳、Linux/Windows CI</x:v>
      </x:c>
      <x:c r="F6" s="12" t="str">
        <x:v>C++20统一；隔离OS层与业务层；依赖锁定、单元测试、格式化、静态检查和内存检查。</x:v>
      </x:c>
      <x:c r="G6" s="12" t="str">
        <x:v>不需要模型</x:v>
      </x:c>
      <x:c r="H6" s="12" t="str">
        <x:v>GOV-01</x:v>
      </x:c>
      <x:c r="I6" s="12" t="str">
        <x:v>Linux与Windows构建通过；核心不依赖浏览器存在；纯逻辑测试无外网。</x:v>
      </x:c>
    </x:row>
    <x:row r="7" ht="130" customHeight="1">
      <x:c r="A7" s="12" t="str">
        <x:v>CONTRACT-01</x:v>
      </x:c>
      <x:c r="B7" s="12" t="str">
        <x:v>数据合同与错误/取消协议</x:v>
      </x:c>
      <x:c r="C7" s="12" t="str">
        <x:v>M0</x:v>
      </x:c>
      <x:c r="D7" s="12" t="str">
        <x:v>功能目录、状态语义</x:v>
      </x:c>
      <x:c r="E7" s="12" t="str">
        <x:v>JSON Schema、接口DTO、错误码、版本协商</x:v>
      </x:c>
      <x:c r="F7" s="12" t="str">
        <x:v>先冻结QueryAST/Scope/Budget/Source/Document/Snapshot/Extraction/Evidence/Job/SearchSession；业务与协议版本分开。</x:v>
      </x:c>
      <x:c r="G7" s="12" t="str">
        <x:v>不需要模型</x:v>
      </x:c>
      <x:c r="H7" s="12" t="str">
        <x:v>CORE-01</x:v>
      </x:c>
      <x:c r="I7" s="12" t="str">
        <x:v>合法/非法样例双向验证；字段未知、参数冲突、能力缺失有稳定错误；不把资源ID当授权。</x:v>
      </x:c>
    </x:row>
    <x:row r="8" ht="130" customHeight="1">
      <x:c r="A8" s="12" t="str">
        <x:v>SEC-01</x:v>
      </x:c>
      <x:c r="B8" s="12" t="str">
        <x:v>网络与执行隔离</x:v>
      </x:c>
      <x:c r="C8" s="12" t="str">
        <x:v>M0</x:v>
      </x:c>
      <x:c r="D8" s="12" t="str">
        <x:v>目标URL、地址策略、授权模型配置</x:v>
      </x:c>
      <x:c r="E8" s="12" t="str">
        <x:v>允许/阻断决策、隔离运行环境</x:v>
      </x:c>
      <x:c r="F8" s="12" t="str">
        <x:v>公网抓取、模型端点、本地导入三条通道；校验DNS和每跳重定向；浏览器强制经出口控制，禁止直接旁路。</x:v>
      </x:c>
      <x:c r="G8" s="12" t="str">
        <x:v>不需要模型</x:v>
      </x:c>
      <x:c r="H8" s="12" t="str">
        <x:v>CONTRACT-01</x:v>
      </x:c>
      <x:c r="I8" s="12" t="str">
        <x:v>IPv4/IPv6、重绑定、重定向、子资源、WebSocket/QUIC旁路样例被拒；模型内网白名单不开放给网页。</x:v>
      </x:c>
    </x:row>
    <x:row r="9" ht="130" customHeight="1">
      <x:c r="A9" s="12" t="str">
        <x:v>JOB-01</x:v>
      </x:c>
      <x:c r="B9" s="12" t="str">
        <x:v>持久任务、预算与恢复</x:v>
      </x:c>
      <x:c r="C9" s="12" t="str">
        <x:v>M0</x:v>
      </x:c>
      <x:c r="D9" s="12" t="str">
        <x:v>任务请求、范围、预算、幂等键</x:v>
      </x:c>
      <x:c r="E9" s="12" t="str">
        <x:v>Job、检查点、租约、进度和停止原因</x:v>
      </x:c>
      <x:c r="F9" s="12" t="str">
        <x:v>单机持久队列+执行租约与fencing；原子预留页数/请求预算；暂停、取消、续跑；至少一次执行且幂等提交。 预算预留、幂等提交和执行租约依赖同一持久化合同；租约包含递增epoch，超时仅撤销后续授权，不假定远程请求已取消。未知执行结果不得盲目退还外部请求额度。</x:v>
      </x:c>
      <x:c r="G9" s="12" t="str">
        <x:v>不需要模型</x:v>
      </x:c>
      <x:c r="H9" s="12" t="str">
        <x:v>CONTRACT-01, STORE-01, AUTH-01, QA-01</x:v>
      </x:c>
      <x:c r="I9" s="12" t="str">
        <x:v>崩溃恢复不重复发布产物；旧租约不能提交；重試占预算；取消后无新派发；不承诺网络恰好一次。 旧epoch提交被拒；取消后无新派发；暂停/重启后预算账本可对账且失败不退成免费请求。</x:v>
      </x:c>
    </x:row>
    <x:row r="10" ht="130" customHeight="1">
      <x:c r="A10" s="12" t="str">
        <x:v>STORE-01</x:v>
      </x:c>
      <x:c r="B10" s="12" t="str">
        <x:v>内容快照、结构块与证据基础存储</x:v>
      </x:c>
      <x:c r="C10" s="12" t="str">
        <x:v>M0</x:v>
      </x:c>
      <x:c r="D10" s="12" t="str">
        <x:v>获取产物、正文、权限与保留期</x:v>
      </x:c>
      <x:c r="E10" s="12" t="str">
        <x:v>Document/Snapshot/Extraction/Block</x:v>
      </x:c>
      <x:c r="F10" s="12" t="str">
        <x:v>原始内容按租户命名空间哈希存储；不可变正文和版本化偏移；元数据事务与outbox；崩溃后孤儿文件回收。 分别限额临时下载/原始产物/快照/索引/导出/事件缓冲；入队预留+运行中硬上限+高低水位回压。GC只删无有效引用且已过保留期的产物，活动提取/证据有pin。</x:v>
      </x:c>
      <x:c r="G10" s="12" t="str">
        <x:v>不需要模型</x:v>
      </x:c>
      <x:c r="H10" s="12" t="str">
        <x:v>CONTRACT-01</x:v>
      </x:c>
      <x:c r="I10" s="12" t="str">
        <x:v>同URL更新不覆盖旧快照；Unicode字节定位一致；未提交blob不进入结果；无跨用户去重侧信道。 并发抓取遇磁盘满应回压而不是无限重试；GC与提交竞争无丢失已引用blob；拒绝超额后账本可恢复。</x:v>
      </x:c>
    </x:row>
    <x:row r="11" ht="130" customHeight="1">
      <x:c r="A11" s="12" t="str">
        <x:v>AUTH-01</x:v>
      </x:c>
      <x:c r="B11" s="12" t="str">
        <x:v>认证、授权、私有内容与删除策略</x:v>
      </x:c>
      <x:c r="C11" s="12" t="str">
        <x:v>M0</x:v>
      </x:c>
      <x:c r="D11" s="12" t="str">
        <x:v>用户/调用方、集合ACL、撤权与删除请求</x:v>
      </x:c>
      <x:c r="E11" s="12" t="str">
        <x:v>权限决策、tombstone、审计</x:v>
      </x:c>
      <x:c r="F11" s="12" t="str">
        <x:v>权限用于检索候选、统计、证据、模型上下文、缓存与导出；私有会话隔离；删除先阻断发布再清理派生物。 删除/撤权发布屏障覆盖查询、SSE历史重放、建议、分面、导出和模型输入；备份撤销日志独立保护，不能只保存在被回滚DB中。已交付到外部的内容无法撤回，需说明边界。</x:v>
      </x:c>
      <x:c r="G11" s="12" t="str">
        <x:v>不需要模型</x:v>
      </x:c>
      <x:c r="H11" s="12" t="str">
        <x:v>STORE-01</x:v>
      </x:c>
      <x:c r="I11" s="12" t="str">
        <x:v>撤权后旧游标/证据/聚合计数均不可泄露；删除状态可追踪；历史备份恢复也重放删除日志。 撤销在本系统新发布入口同步生效；恢复时无法确认最新撤销水位则保持隔离。</x:v>
      </x:c>
    </x:row>
    <x:row r="12" ht="130" customHeight="1">
      <x:c r="A12" s="12" t="str">
        <x:v>QA-01</x:v>
      </x:c>
      <x:c r="B12" s="12" t="str">
        <x:v>固定样本、模拟来源与回放测试底座</x:v>
      </x:c>
      <x:c r="C12" s="12" t="str">
        <x:v>M0</x:v>
      </x:c>
      <x:c r="D12" s="12" t="str">
        <x:v>自建样本站、录制脱敏响应、人工标注</x:v>
      </x:c>
      <x:c r="E12" s="12" t="str">
        <x:v>fixture、分层测试集、报告格式</x:v>
      </x:c>
      <x:c r="F12" s="12" t="str">
        <x:v>隔离离线与真实网络测试；从第一天建立精确查询、中文、动态页、错误页和安全回放。</x:v>
      </x:c>
      <x:c r="G12" s="12" t="str">
        <x:v>不需要模型</x:v>
      </x:c>
      <x:c r="H12" s="12" t="str">
        <x:v>CONTRACT-01</x:v>
      </x:c>
      <x:c r="I12" s="12" t="str">
        <x:v>测试不依赖实时外网才可通过；测试集版本冻结；真实用户数据不进入公共fixture。</x:v>
      </x:c>
    </x:row>
    <x:row r="13" ht="130" customHeight="1">
      <x:c r="A13" s="12" t="str">
        <x:v>SRC-01</x:v>
      </x:c>
      <x:c r="B13" s="12" t="str">
        <x:v>免费入口审核与来源注册</x:v>
      </x:c>
      <x:c r="C13" s="12" t="str">
        <x:v>M1</x:v>
      </x:c>
      <x:c r="D13" s="12" t="str">
        <x:v>来源服务、底层索引、能力、入口、使用条件</x:v>
      </x:c>
      <x:c r="E13" s="12" t="str">
        <x:v>SourceManifest、review_state、核验日期</x:v>
      </x:c>
      <x:c r="F13" s="12" t="str">
        <x:v>逐项记录免费而非试用、账号/配额、自动访问、缓存/再发布条件；无法核验默认禁用。</x:v>
      </x:c>
      <x:c r="G13" s="12" t="str">
        <x:v>不需要模型</x:v>
      </x:c>
      <x:c r="H13" s="12" t="str">
        <x:v>GOV-01, CONTRACT-02</x:v>
      </x:c>
      <x:c r="I13" s="12" t="str">
        <x:v>免费状态与可用状态分开；条款变更立即停用；没有付费备用路径。</x:v>
      </x:c>
    </x:row>
    <x:row r="14" ht="130" customHeight="1">
      <x:c r="A14" s="12" t="str">
        <x:v>SRC-02</x:v>
      </x:c>
      <x:c r="B14" s="12" t="str">
        <x:v>健康检查、限流、退避与共享配额</x:v>
      </x:c>
      <x:c r="C14" s="12" t="str">
        <x:v>M1</x:v>
      </x:c>
      <x:c r="D14" s="12" t="str">
        <x:v>请求结果、Retry-After、全局和同源策略</x:v>
      </x:c>
      <x:c r="E14" s="12" t="str">
        <x:v>健康报告、冷却、统一限流</x:v>
      </x:c>
      <x:c r="F14" s="12" t="str">
        <x:v>按provider/endpoint/身份适用边界聚合限制；低频健康探针；区分空结果与解析/访问失败。</x:v>
      </x:c>
      <x:c r="G14" s="12" t="str">
        <x:v>不需要模型</x:v>
      </x:c>
      <x:c r="H14" s="12" t="str">
        <x:v>SRC-01, JOB-01</x:v>
      </x:c>
      <x:c r="I14" s="12" t="str">
        <x:v>两适配器不绕过同源限流；限流不会触发无限重试；源禁用即时阻止后续请求。</x:v>
      </x:c>
    </x:row>
    <x:row r="15" ht="130" customHeight="1">
      <x:c r="A15" s="12" t="str">
        <x:v>SRC-03</x:v>
      </x:c>
      <x:c r="B15" s="12" t="str">
        <x:v>来源能力协商与参数翻译</x:v>
      </x:c>
      <x:c r="C15" s="12" t="str">
        <x:v>M1</x:v>
      </x:c>
      <x:c r="D15" s="12" t="str">
        <x:v>QueryAST、来源能力声明</x:v>
      </x:c>
      <x:c r="E15" s="12" t="str">
        <x:v>native/emulated/unsupported执行计划</x:v>
      </x:c>
      <x:c r="F15" s="12" t="str">
        <x:v>按谓词判断可原生执行、可在候选中核验或不支持；不原样转发未知操作符。</x:v>
      </x:c>
      <x:c r="G15" s="12" t="str">
        <x:v>不需要模型</x:v>
      </x:c>
      <x:c r="H15" s="12" t="str">
        <x:v>SRC-01, CONTRACT-01</x:v>
      </x:c>
      <x:c r="I15" s="12" t="str">
        <x:v>不支持条件不静默丢弃；native只是执行位置，不等于结果已经满足。</x:v>
      </x:c>
    </x:row>
    <x:row r="16" ht="130" customHeight="1">
      <x:c r="A16" s="12" t="str">
        <x:v>SRC-04</x:v>
      </x:c>
      <x:c r="B16" s="12" t="str">
        <x:v>免费底层来源并集清点与首批适配</x:v>
      </x:c>
      <x:c r="C16" s="12" t="str">
        <x:v>M1</x:v>
      </x:c>
      <x:c r="D16" s="12" t="str">
        <x:v>SearXNG/4get/LibreY/Websurfx公开清单和额外公共接口候选</x:v>
      </x:c>
      <x:c r="E16" s="12" t="str">
        <x:v>底层来源差异表、首批3–5个已审核适配器</x:v>
      </x:c>
      <x:c r="F16" s="12" t="str">
        <x:v>按服务/索引族/检索能力/入口去重；独立实现协议与解析；每个适配器有fixture、分页和失败合同。 正式通用网页搜索门禁要求至少一个经审核且真实测试的web来源；3–5个学术/馆藏来源不能替代web门禁。固定查询和连续观测窗口在G0登记，无可用来源时保留fixture和领域搜索但不签署web Alpha。</x:v>
      </x:c>
      <x:c r="G16" s="12" t="str">
        <x:v>不需要模型</x:v>
      </x:c>
      <x:c r="H16" s="12" t="str">
        <x:v>SRC-02, SRC-03, SEC-01, QA-01, QRY-01</x:v>
      </x:c>
      <x:c r="I16" s="12" t="str">
        <x:v>未知是否共用索引不猜测；首批至少有可用外部来源并跨类别；不能审核的候选明确排除。 报告具体入口、许可证据、日期、查询样本、限流与独有结果；无源时明确E_CAPABILITY_UNAVAILABLE，不删减长期功能承诺。</x:v>
      </x:c>
    </x:row>
    <x:row r="17" ht="130" customHeight="1">
      <x:c r="A17" s="12" t="str">
        <x:v>QRY-01</x:v>
      </x:c>
      <x:c r="B17" s="12" t="str">
        <x:v>统一查询语法与AST</x:v>
      </x:c>
      <x:c r="C17" s="12" t="str">
        <x:v>M1</x:v>
      </x:c>
      <x:c r="D17" s="12" t="str">
        <x:v>查询字符串或结构化条件</x:v>
      </x:c>
      <x:c r="E17" s="12" t="str">
        <x:v>QueryAST、规范显示、解析警告</x:v>
      </x:c>
      <x:c r="F17" s="12" t="str">
        <x:v>支持短语、AND/OR/NOT、括号、site/filetype/intitle、时间与语言；词法保护C++/C#/std::和错误码；限制复杂度。 一个query字段承载原始字符串或AST，不新增两个可冲突的真值。AST节点/深度/字符串/请求体设硬上限；字段-操作符和值类型在规范化阶段校验。</x:v>
      </x:c>
      <x:c r="G17" s="12" t="str">
        <x:v>不需要模型</x:v>
      </x:c>
      <x:c r="H17" s="12" t="str">
        <x:v>CONTRACT-01</x:v>
      </x:c>
      <x:c r="I17" s="12" t="str">
        <x:v>语法优先级明确；字符串与结构化请求等价；注入/超深嵌套拒绝；不直接拼SQL/FTS字符串。 错误日期、host配after、数组配eq、非host使用host匹配、深AST在执行来源前拒绝。</x:v>
      </x:c>
    </x:row>
    <x:row r="18" ht="130" customHeight="1">
      <x:c r="A18" s="12" t="str">
        <x:v>QRY-02</x:v>
      </x:c>
      <x:c r="B18" s="12" t="str">
        <x:v>精确字面与标识符匹配</x:v>
      </x:c>
      <x:c r="C18" s="12" t="str">
        <x:v>M1</x:v>
      </x:c>
      <x:c r="D18" s="12" t="str">
        <x:v>词项、精确模式、字段</x:v>
      </x:c>
      <x:c r="E18" s="12" t="str">
        <x:v>保留大小写/标点策略与匹配谓词</x:v>
      </x:c>
      <x:c r="F18" s="12" t="str">
        <x:v>字面字段与自然语言字段分离；数字型号默认禁用模糊；URL、错误码、版本、代码符号不被模型擅改。</x:v>
      </x:c>
      <x:c r="G18" s="12" t="str">
        <x:v>不需要模型</x:v>
      </x:c>
      <x:c r="H18" s="12" t="str">
        <x:v>QRY-01</x:v>
      </x:c>
      <x:c r="I18" s="12" t="str">
        <x:v>C++/C#/std::expected/HTTP 429样例保持区别；精确条件在候选核验前不得标满足。</x:v>
      </x:c>
    </x:row>
    <x:row r="19" ht="130" customHeight="1">
      <x:c r="A19" s="12" t="str">
        <x:v>SEARCH-01</x:v>
      </x:c>
      <x:c r="B19" s="12" t="str">
        <x:v>多源并发搜索与部分结果</x:v>
      </x:c>
      <x:c r="C19" s="12" t="str">
        <x:v>M1</x:v>
      </x:c>
      <x:c r="D19" s="12" t="str">
        <x:v>查询、来源范围、类别、deadline</x:v>
      </x:c>
      <x:c r="E19" s="12" t="str">
        <x:v>候选、来源报告、coverage</x:v>
      </x:c>
      <x:c r="F19" s="12" t="str">
        <x:v>以预算选择并行批次；来源内排名原样保留；无来源成功与零命中分开。</x:v>
      </x:c>
      <x:c r="G19" s="12" t="str">
        <x:v>不需要模型</x:v>
      </x:c>
      <x:c r="H19" s="12" t="str">
        <x:v>SRC-04, QRY-01, QRY-02, JOB-01, AUTH-01, CONTRACT-02</x:v>
      </x:c>
      <x:c r="I19" s="12" t="str">
        <x:v>单源超时不吞其他结果；不伪造全网数量；未完成源显示未完成。</x:v>
      </x:c>
    </x:row>
    <x:row r="20" ht="130" customHeight="1">
      <x:c r="A20" s="12" t="str">
        <x:v>SEARCH-03</x:v>
      </x:c>
      <x:c r="B20" s="12" t="str">
        <x:v>来源去重、内容身份与基础融合</x:v>
      </x:c>
      <x:c r="C20" s="12" t="str">
        <x:v>M1</x:v>
      </x:c>
      <x:c r="D20" s="12" t="str">
        <x:v>候选URL、来源内排名、可用身份依据</x:v>
      </x:c>
      <x:c r="E20" s="12" t="str">
        <x:v>重复组、合并记录、基础排名</x:v>
      </x:c>
      <x:c r="F20" s="12" t="str">
        <x:v>URL规范化规则有版本；canonical只是证据；按独立索引族抑制重复计票；融合用排名而非相加不可比原分。 未知index_family不能全部落到同一个unknown桶。已知同族按family+capability合并；未知按已审核provider+capability+逻辑服务键隔离，不按adapter拆票。检索渠道贡献与独立证据数是两份数据。</x:v>
      </x:c>
      <x:c r="G20" s="12" t="str">
        <x:v>不需要模型</x:v>
      </x:c>
      <x:c r="H20" s="12" t="str">
        <x:v>SEARCH-01</x:v>
      </x:c>
      <x:c r="I20" s="12" t="str">
        <x:v>同底层源多实现不重复加权；不同文档版本/语种不盲删；保留发现路径。 两个不同未知族服务仍有各自候选贡献；同provider多adapter不会加票；未知族不计为已证实独立证据。</x:v>
      </x:c>
    </x:row>
    <x:row r="21" ht="130" customHeight="1">
      <x:c r="A21" s="12" t="str">
        <x:v>SESSION-01</x:v>
      </x:c>
      <x:c r="B21" s="12" t="str">
        <x:v>搜索会话、冻结结果与稳定游标</x:v>
      </x:c>
      <x:c r="C21" s="12" t="str">
        <x:v>M1</x:v>
      </x:c>
      <x:c r="D21" s="12" t="str">
        <x:v>查询、刷新/继续/细化动作</x:v>
      </x:c>
      <x:c r="E21" s="12" t="str">
        <x:v>SearchSession、ResultSet、游标</x:v>
      </x:c>
      <x:c r="F21" s="12" t="str">
        <x:v>物化候选与排名版本；游标绑定会话/版本/权限/过期时间；跨页维护seen集合；新内容进入新版本。</x:v>
      </x:c>
      <x:c r="G21" s="12" t="str">
        <x:v>不需要模型</x:v>
      </x:c>
      <x:c r="H21" s="12" t="str">
        <x:v>SEARCH-03, AUTH-01, STORE-01</x:v>
      </x:c>
      <x:c r="I21" s="12" t="str">
        <x:v>无跨页重复或静默重排；权限收紧时失效重建而非泄漏；游标过期需重搜。</x:v>
      </x:c>
    </x:row>
    <x:row r="22" ht="130" customHeight="1">
      <x:c r="A22" s="12" t="str">
        <x:v>SESSION-02</x:v>
      </x:c>
      <x:c r="B22" s="12" t="str">
        <x:v>流式结果、断线续传与取消</x:v>
      </x:c>
      <x:c r="C22" s="12" t="str">
        <x:v>M1</x:v>
      </x:c>
      <x:c r="D22" s="12" t="str">
        <x:v>会话订阅、Last-Event-ID、取消动作</x:v>
      </x:c>
      <x:c r="E22" s="12" t="str">
        <x:v>带单调序号SSE事件</x:v>
      </x:c>
      <x:c r="F22" s="12" t="str">
        <x:v>预览可更新，冻结分页不可原地变化；事件日志有保留期；背压、心跳、过期恢复提示。</x:v>
      </x:c>
      <x:c r="G22" s="12" t="str">
        <x:v>不需要模型</x:v>
      </x:c>
      <x:c r="H22" s="12" t="str">
        <x:v>SESSION-01, JOB-01</x:v>
      </x:c>
      <x:c r="I22" s="12" t="str">
        <x:v>断线重播按event_id去重；客户端慢不耗尽内存；停止搜索保留已完成结果。</x:v>
      </x:c>
    </x:row>
    <x:row r="23" ht="130" customHeight="1">
      <x:c r="A23" s="12" t="str">
        <x:v>MODE-01</x:v>
      </x:c>
      <x:c r="B23" s="12" t="str">
        <x:v>快速/均衡/深入执行预设</x:v>
      </x:c>
      <x:c r="C23" s="12" t="str">
        <x:v>M1</x:v>
      </x:c>
      <x:c r="D23" s="12" t="str">
        <x:v>模式、授权预算覆盖</x:v>
      </x:c>
      <x:c r="E23" s="12" t="str">
        <x:v>可查看的来源/读取/模型调用上限</x:v>
      </x:c>
      <x:c r="F23" s="12" t="str">
        <x:v>模式是策略不是质量承诺；模型缺失不影响普通搜索；deadline使用单调时钟，跨进程传播剩余预算。</x:v>
      </x:c>
      <x:c r="G23" s="12" t="str">
        <x:v>不需要模型</x:v>
      </x:c>
      <x:c r="H23" s="12" t="str">
        <x:v>SEARCH-01, SRC-02</x:v>
      </x:c>
      <x:c r="I23" s="12" t="str">
        <x:v>快速模式不强制浏览器或模型；任一预设都受同源额度与硬约束限制。</x:v>
      </x:c>
    </x:row>
    <x:row r="24" ht="130" customHeight="1">
      <x:c r="A24" s="12" t="str">
        <x:v>UI-01</x:v>
      </x:c>
      <x:c r="B24" s="12" t="str">
        <x:v>最小搜索、读取与任务界面</x:v>
      </x:c>
      <x:c r="C24" s="12" t="str">
        <x:v>M1</x:v>
      </x:c>
      <x:c r="D24" s="12" t="str">
        <x:v>查询和控制操作</x:v>
      </x:c>
      <x:c r="E24" s="12" t="str">
        <x:v>基础Web UI、错误展示、来源开关</x:v>
      </x:c>
      <x:c r="F24" s="12" t="str">
        <x:v>TypeScript前端可选基础框架，静态资源本地打包；搜索输入/部分结果/任务列表；键盘可用。</x:v>
      </x:c>
      <x:c r="G24" s="12" t="str">
        <x:v>不需要模型</x:v>
      </x:c>
      <x:c r="H24" s="12" t="str">
        <x:v>SESSION-02, CORE-01, API-00</x:v>
      </x:c>
      <x:c r="I24" s="12" t="str">
        <x:v>不加载第三方统计或外链字体；未实现按钮隐藏；所有操作仍经统一授权接口。</x:v>
      </x:c>
    </x:row>
    <x:row r="25" ht="130" customHeight="1">
      <x:c r="A25" s="12" t="str">
        <x:v>READ-01</x:v>
      </x:c>
      <x:c r="B25" s="12" t="str">
        <x:v>HTTP读取与质量状态</x:v>
      </x:c>
      <x:c r="C25" s="12" t="str">
        <x:v>M2</x:v>
      </x:c>
      <x:c r="D25" s="12" t="str">
        <x:v>URL、请求策略、字节/超时限制</x:v>
      </x:c>
      <x:c r="E25" s="12" t="str">
        <x:v>FetchArtifact、状态与最终URL</x:v>
      </x:c>
      <x:c r="F25" s="12" t="str">
        <x:v>libcurl异步多连接；解压预算、响应类型验证、重定向每跳审查；识别登录/挑战/错误/空壳页。</x:v>
      </x:c>
      <x:c r="G25" s="12" t="str">
        <x:v>不需要模型</x:v>
      </x:c>
      <x:c r="H25" s="12" t="str">
        <x:v>SEC-01, JOB-01, STORE-01, AUTH-01, OPS-00</x:v>
      </x:c>
      <x:c r="I25" s="12" t="str">
        <x:v>HTTP200登录页不等于正文成功；断流保留部分状态；不自动使用代理或收费后端。</x:v>
      </x:c>
    </x:row>
    <x:row r="26" ht="130" customHeight="1">
      <x:c r="A26" s="12" t="str">
        <x:v>READ-02</x:v>
      </x:c>
      <x:c r="B26" s="12" t="str">
        <x:v>动态网页与受控浏览器动作</x:v>
      </x:c>
      <x:c r="C26" s="12" t="str">
        <x:v>M2</x:v>
      </x:c>
      <x:c r="D26" s="12" t="str">
        <x:v>render策略、等待元素、展开/滚动/分页上限</x:v>
      </x:c>
      <x:c r="E26" s="12" t="str">
        <x:v>DOM、可选截图、渲染证据</x:v>
      </x:c>
      <x:c r="F26" s="12" t="str">
        <x:v>自研CDP控制Chromium；浏览器池+隔离context；跨frame/SPA处理；只有读取所需动作，不开放任意JS给调用方。</x:v>
      </x:c>
      <x:c r="G26" s="12" t="str">
        <x:v>可选或按子能力启用</x:v>
      </x:c>
      <x:c r="H26" s="12" t="str">
        <x:v>READ-01, SEC-01, SPIKE-01</x:v>
      </x:c>
      <x:c r="I26" s="12" t="str">
        <x:v>延迟渲染成功或明确失败；浏览器无出口绕过；auth状态隔离；禁止用无限等待充当页面就绪。</x:v>
      </x:c>
    </x:row>
    <x:row r="27" ht="130" customHeight="1">
      <x:c r="A27" s="12" t="str">
        <x:v>READ-03</x:v>
      </x:c>
      <x:c r="B27" s="12" t="str">
        <x:v>正文、代码、表格与元数据提取</x:v>
      </x:c>
      <x:c r="C27" s="12" t="str">
        <x:v>M2</x:v>
      </x:c>
      <x:c r="D27" s="12" t="str">
        <x:v>HTML/DOM、article/document/full_clean、选择器</x:v>
      </x:c>
      <x:c r="E27" s="12" t="str">
        <x:v>正文块、Markdown、链接、JSON-LD元数据</x:v>
      </x:c>
      <x:c r="F27" s="12" t="str">
        <x:v>独立实现正文评分/模板去除；CSS选择器和XPath分别走统一DOM映射；保留表格标题单元与代码；不执行脚本。</x:v>
      </x:c>
      <x:c r="G27" s="12" t="str">
        <x:v>可选或按子能力启用</x:v>
      </x:c>
      <x:c r="H27" s="12" t="str">
        <x:v>READ-01, STORE-01</x:v>
      </x:c>
      <x:c r="I27" s="12" t="str">
        <x:v>正文质量分类型评测；发布时间未知为null；规则版本改变新建Extraction；片段位置可追溯。</x:v>
      </x:c>
    </x:row>
    <x:row r="28" ht="130" customHeight="1">
      <x:c r="A28" s="12" t="str">
        <x:v>READ-05</x:v>
      </x:c>
      <x:c r="B28" s="12" t="str">
        <x:v>授权会话与站点读取配置</x:v>
      </x:c>
      <x:c r="C28" s="12" t="str">
        <x:v>M2</x:v>
      </x:c>
      <x:c r="D28" s="12" t="str">
        <x:v>明确授权的凭据引用、读取站点配置</x:v>
      </x:c>
      <x:c r="E28" s="12" t="str">
        <x:v>隔离会话、过期状态</x:v>
      </x:c>
      <x:c r="F28" s="12" t="str">
        <x:v>用户配置登录态引用不进入公开缓存；禁止跨站默认转发敏感头；手动续授权，不绕过登录/付费墙。</x:v>
      </x:c>
      <x:c r="G28" s="12" t="str">
        <x:v>不需要模型</x:v>
      </x:c>
      <x:c r="H28" s="12" t="str">
        <x:v>READ-02, AUTH-01</x:v>
      </x:c>
      <x:c r="I28" s="12" t="str">
        <x:v>两用户同URL不混Cookie；凭据删除立即停止后续调用；日志不含Cookie与密钥。</x:v>
      </x:c>
    </x:row>
    <x:row r="29" ht="130" customHeight="1">
      <x:c r="A29" s="12" t="str">
        <x:v>DOC-01</x:v>
      </x:c>
      <x:c r="B29" s="12" t="str">
        <x:v>PDF/文本及Office开放格式解析</x:v>
      </x:c>
      <x:c r="C29" s="12" t="str">
        <x:v>M2</x:v>
      </x:c>
      <x:c r="D29" s="12" t="str">
        <x:v>授权文件或URL、MIME/页数/体积限制</x:v>
      </x:c>
      <x:c r="E29" s="12" t="str">
        <x:v>页/段/表格/工作表/幻灯片结构</x:v>
      </x:c>
      <x:c r="F29" s="12" t="str">
        <x:v>先文本PDF/TXT/MD/CSV/HTML，扩展DOCX/XLSX/PPTX/ODF/EPUB；PDFium与安全ZIP/XML基础组件；不执行宏/外链公式。</x:v>
      </x:c>
      <x:c r="G29" s="12" t="str">
        <x:v>不需要模型</x:v>
      </x:c>
      <x:c r="H29" s="12" t="str">
        <x:v>READ-01, READ-03, SPIKE-01</x:v>
      </x:c>
      <x:c r="I29" s="12" t="str">
        <x:v>扩展名与内容嗅探冲突可拒绝；压缩炸弹与路径穿越阻断；缺失文本层进入显式OCR队列。</x:v>
      </x:c>
    </x:row>
    <x:row r="30" ht="130" customHeight="1">
      <x:c r="A30" s="12" t="str">
        <x:v>BATCH-01</x:v>
      </x:c>
      <x:c r="B30" s="12" t="str">
        <x:v>批量网页/文档读取</x:v>
      </x:c>
      <x:c r="C30" s="12" t="str">
        <x:v>M2</x:v>
      </x:c>
      <x:c r="D30" s="12" t="str">
        <x:v>明确URL/文件列表</x:v>
      </x:c>
      <x:c r="E30" s="12" t="str">
        <x:v>逐项结果和批量任务</x:v>
      </x:c>
      <x:c r="F30" s="12" t="str">
        <x:v>复用读取流水线；请求合并有权限和表示边界；不能自动跟链。</x:v>
      </x:c>
      <x:c r="G30" s="12" t="str">
        <x:v>不需要模型</x:v>
      </x:c>
      <x:c r="H30" s="12" t="str">
        <x:v>READ-02, DOC-01, JOB-01</x:v>
      </x:c>
      <x:c r="I30" s="12" t="str">
        <x:v>10个输入只处理授权10项；失败隔离；暂停恢复不会重发已提交项。</x:v>
      </x:c>
    </x:row>
    <x:row r="31" ht="130" customHeight="1">
      <x:c r="A31" s="12" t="str">
        <x:v>MAP-01</x:v>
      </x:c>
      <x:c r="B31" s="12" t="str">
        <x:v>Sitemap/Feed/链接发现</x:v>
      </x:c>
      <x:c r="C31" s="12" t="str">
        <x:v>M2</x:v>
      </x:c>
      <x:c r="D31" s="12" t="str">
        <x:v>入口、路径范围、发现预算</x:v>
      </x:c>
      <x:c r="E31" s="12" t="str">
        <x:v>候选、parent、来源与深度</x:v>
      </x:c>
      <x:c r="F31" s="12" t="str">
        <x:v>解析Sitemap及索引、RSS/Atom、页面a链接与历史记录；可选已有搜索源site查询补充；去循环和参数爆炸。</x:v>
      </x:c>
      <x:c r="G31" s="12" t="str">
        <x:v>不需要模型</x:v>
      </x:c>
      <x:c r="H31" s="12" t="str">
        <x:v>READ-03, JOB-01</x:v>
      </x:c>
      <x:c r="I31" s="12" t="str">
        <x:v>候选不是已读；不宣称完整全站；XML外部实体禁用；页面深度与路径层数分开。</x:v>
      </x:c>
    </x:row>
    <x:row r="32" ht="130" customHeight="1">
      <x:c r="A32" s="12" t="str">
        <x:v>CRAWL-01</x:v>
      </x:c>
      <x:c r="B32" s="12" t="str">
        <x:v>有界递归爬虫与抓取前沿</x:v>
      </x:c>
      <x:c r="C32" s="12" t="str">
        <x:v>M2</x:v>
      </x:c>
      <x:c r="D32" s="12" t="str">
        <x:v>seeds、范围、页/请求/字节/深度预算</x:v>
      </x:c>
      <x:c r="E32" s="12" t="str">
        <x:v>网页集合、边关系、覆盖与停止原因</x:v>
      </x:c>
      <x:c r="F32" s="12" t="str">
        <x:v>单一发现调度者；入队/派发/重定向皆检查scope；分页循环、calendar trap、参数组合检测；公平队列。</x:v>
      </x:c>
      <x:c r="G32" s="12" t="str">
        <x:v>不需要模型</x:v>
      </x:c>
      <x:c r="H32" s="12" t="str">
        <x:v>MAP-01, BATCH-01, SRC-02, ROBOTS-01</x:v>
      </x:c>
      <x:c r="I32" s="12" t="str">
        <x:v>在途预算原子预留；达到限额显示partial；frontier耗尽仅代表允许范围；断点可恢复。</x:v>
      </x:c>
    </x:row>
    <x:row r="33" ht="130" customHeight="1">
      <x:c r="A33" s="12" t="str">
        <x:v>CRAWL-03</x:v>
      </x:c>
      <x:c r="B33" s="12" t="str">
        <x:v>公开索引与摘要发布规则</x:v>
      </x:c>
      <x:c r="C33" s="12" t="str">
        <x:v>M2</x:v>
      </x:c>
      <x:c r="D33" s="12" t="str">
        <x:v>robots.txt、headers、meta和集合发布策略</x:v>
      </x:c>
      <x:c r="E33" s="12" t="str">
        <x:v>抓取/索引/片段显示决策</x:v>
      </x:c>
      <x:c r="F33" s="12" t="str">
        <x:v>采用明确REP策略；支持适用于本爬虫的noindex/nosnippet/data-nosnippet/X-Robots-Tag；声明缓存可刷新。 robots爬取准入已拆到ROBOTS-01，本包负责noindex/nosnippet等适用声明和公开发布/撤索引；策略作用域与私有授权集合分开。</x:v>
      </x:c>
      <x:c r="G33" s="12" t="str">
        <x:v>不需要模型</x:v>
      </x:c>
      <x:c r="H33" s="12" t="str">
        <x:v>ROBOTS-01, READ-03</x:v>
      </x:c>
      <x:c r="I33" s="12" t="str">
        <x:v>抓取允许不等于可公开索引；不按Google专属token套用于本工具；noindex变化触发索引移除。 未满足robots准入不会先到本模块；公开发布标签生效不等待整站爬虫完成。</x:v>
      </x:c>
    </x:row>
    <x:row r="34" ht="130" customHeight="1">
      <x:c r="A34" s="12" t="str">
        <x:v>INDEX-01</x:v>
      </x:c>
      <x:c r="B34" s="12" t="str">
        <x:v>字段化全文检索与索引服务</x:v>
      </x:c>
      <x:c r="C34" s="12" t="str">
        <x:v>M2</x:v>
      </x:c>
      <x:c r="D34" s="12" t="str">
        <x:v>结构块、语言、字段权重</x:v>
      </x:c>
      <x:c r="E34" s="12" t="str">
        <x:v>全文索引、BM25候选、命中字段</x:v>
      </x:c>
      <x:c r="F34" s="12" t="str">
        <x:v>SQLite FTS5自定义tokenizer；标题/正文/代码/URL分字段；精确字面独立核验；限制候选集合再截断。</x:v>
      </x:c>
      <x:c r="G34" s="12" t="str">
        <x:v>不需要模型</x:v>
      </x:c>
      <x:c r="H34" s="12" t="str">
        <x:v>STORE-01, AUTH-01, READ-03, SPIKE-01</x:v>
      </x:c>
      <x:c r="I34" s="12" t="str">
        <x:v>新增内容可搜索；FTS查询由AST编译而非原串；私有授权集合内排序与计数。</x:v>
      </x:c>
    </x:row>
    <x:row r="35" ht="130" customHeight="1">
      <x:c r="A35" s="12" t="str">
        <x:v>INDEX-03</x:v>
      </x:c>
      <x:c r="B35" s="12" t="str">
        <x:v>索引增删改、可见性与版本切换</x:v>
      </x:c>
      <x:c r="C35" s="12" t="str">
        <x:v>M2</x:v>
      </x:c>
      <x:c r="D35" s="12" t="str">
        <x:v>解析产物变更、删除与ACL变更</x:v>
      </x:c>
      <x:c r="E35" s="12" t="str">
        <x:v>可见水位、IndexReceipt、tombstone</x:v>
      </x:c>
      <x:c r="F35" s="12" t="str">
        <x:v>元数据+FTS同事务或明确水位提交；向量后续outbox；reindex不重新抓页；代际索引重建与原子切换。 默认检索仅当前可发布Extraction；历史版本必须显式scope。词项与向量结果经统一当前版本/ACL准入，向量滞后时不能混入旧内容；FTS外部内容触发器与迁移需一致性检查。</x:v>
      </x:c>
      <x:c r="G35" s="12" t="str">
        <x:v>不需要模型</x:v>
      </x:c>
      <x:c r="H35" s="12" t="str">
        <x:v>INDEX-01, CRAWL-03</x:v>
      </x:c>
      <x:c r="I35" s="12" t="str">
        <x:v>可读不假装可搜；删除同步挡发布；旧游标撤权立即失效；恢复备份不复活删除内容。 更新后默认结果不返回旧正文；历史显式查询仍定位原版本；索引损坏可从有效正文恢复。</x:v>
      </x:c>
    </x:row>
    <x:row r="36" ht="130" customHeight="1">
      <x:c r="A36" s="12" t="str">
        <x:v>CACHE-01</x:v>
      </x:c>
      <x:c r="B36" s="12" t="str">
        <x:v>多级缓存与在途请求复用</x:v>
      </x:c>
      <x:c r="C36" s="12" t="str">
        <x:v>M2</x:v>
      </x:c>
      <x:c r="D36" s="12" t="str">
        <x:v>请求表示、权限、版本、新鲜度模式</x:v>
      </x:c>
      <x:c r="E36" s="12" t="str">
        <x:v>cache状态与可复用结果</x:v>
      </x:c>
      <x:c r="F36" s="12" t="str">
        <x:v>源/结果/HTTP/正文/向量/模型缓存独立；遵守响应缓存政策；singleflight有引用计数；取消一方不取消所有订阅方。</x:v>
      </x:c>
      <x:c r="G36" s="12" t="str">
        <x:v>不需要模型</x:v>
      </x:c>
      <x:c r="H36" s="12" t="str">
        <x:v>READ-01, INDEX-03</x:v>
      </x:c>
      <x:c r="I36" s="12" t="str">
        <x:v>cache_only不联网采集；offline连远程模型也禁止；刷新失败旧内容需显式授权；不跨身份复用。</x:v>
      </x:c>
    </x:row>
    <x:row r="37" ht="130" customHeight="1">
      <x:c r="A37" s="12" t="str">
        <x:v>QRY-03</x:v>
      </x:c>
      <x:c r="B37" s="12" t="str">
        <x:v>中文简繁、混合语言与原文映射</x:v>
      </x:c>
      <x:c r="C37" s="12" t="str">
        <x:v>M3</x:v>
      </x:c>
      <x:c r="D37" s="12" t="str">
        <x:v>中文/多语文本、术语字典</x:v>
      </x:c>
      <x:c r="E37" s="12" t="str">
        <x:v>分词与变体索引、原文位置映射</x:v>
      </x:c>
      <x:c r="F37" s="12" t="str">
        <x:v>ICU分段+OpenCC变体+领域词典；原文不可变；允许多对多token映射；简繁转换不作无条件实体合并。</x:v>
      </x:c>
      <x:c r="G37" s="12" t="str">
        <x:v>可选或按子能力启用</x:v>
      </x:c>
      <x:c r="H37" s="12" t="str">
        <x:v>QRY-02, INDEX-01</x:v>
      </x:c>
      <x:c r="I37" s="12" t="str">
        <x:v>中英代码混合可命中；两语种不互相覆盖；每条highlight仍指向原文。</x:v>
      </x:c>
    </x:row>
    <x:row r="38" ht="130" customHeight="1">
      <x:c r="A38" s="12" t="str">
        <x:v>QRY-04</x:v>
      </x:c>
      <x:c r="B38" s="12" t="str">
        <x:v>硬条件核验与预算内补召回</x:v>
      </x:c>
      <x:c r="C38" s="12" t="str">
        <x:v>M3</x:v>
      </x:c>
      <x:c r="D38" s="12" t="str">
        <x:v>AST约束、候选及已读内容</x:v>
      </x:c>
      <x:c r="E38" s="12" t="str">
        <x:v>满足/不符合/未知、核验范围、补搜计划</x:v>
      </x:c>
      <x:c r="F38" s="12" t="str">
        <x:v>来源原生过滤后仍检查关键项；支持strict/exploratory；负面条件在未读/截断内容中不得由缺失推满足。</x:v>
      </x:c>
      <x:c r="G38" s="12" t="str">
        <x:v>不需要模型</x:v>
      </x:c>
      <x:c r="H38" s="12" t="str">
        <x:v>SRC-03, READ-03, INDEX-03</x:v>
      </x:c>
      <x:c r="I38" s="12" t="str">
        <x:v>strict主结果只放已核验满足项；unknown单列；预算不足不说全网无结果。</x:v>
      </x:c>
    </x:row>
    <x:row r="39" ht="130" customHeight="1">
      <x:c r="A39" s="12" t="str">
        <x:v>QRY-05</x:v>
      </x:c>
      <x:c r="B39" s="12" t="str">
        <x:v>纠错、别名与可控模糊匹配</x:v>
      </x:c>
      <x:c r="C39" s="12" t="str">
        <x:v>M3</x:v>
      </x:c>
      <x:c r="D39" s="12" t="str">
        <x:v>查询、领域词典、精确保护项</x:v>
      </x:c>
      <x:c r="E39" s="12" t="str">
        <x:v>建议、原查询与派生查询</x:v>
      </x:c>
      <x:c r="F39" s="12" t="str">
        <x:v>词典候选+有界编辑距离；数字/型号/错误码受保护；用户撤回后严格按原词。</x:v>
      </x:c>
      <x:c r="G39" s="12" t="str">
        <x:v>可选或按子能力启用</x:v>
      </x:c>
      <x:c r="H39" s="12" t="str">
        <x:v>QRY-03</x:v>
      </x:c>
      <x:c r="I39" s="12" t="str">
        <x:v>没有自动把C++改成C#；纠错不删除硬条件；中英文词典范围可配置。</x:v>
      </x:c>
    </x:row>
    <x:row r="40" ht="130" customHeight="1">
      <x:c r="A40" s="12" t="str">
        <x:v>QRY-06</x:v>
      </x:c>
      <x:c r="B40" s="12" t="str">
        <x:v>联想补全与相关查询</x:v>
      </x:c>
      <x:c r="C40" s="12" t="str">
        <x:v>M3</x:v>
      </x:c>
      <x:c r="D40" s="12" t="str">
        <x:v>前缀、公开词典、授权历史</x:v>
      </x:c>
      <x:c r="E40" s="12" t="str">
        <x:v>可解释的补全与相关查询</x:v>
      </x:c>
      <x:c r="F40" s="12" t="str">
        <x:v>本地默认；外部联想需用户开启且来源免费审核；私有历史分区；代码输入不错误触发语法。</x:v>
      </x:c>
      <x:c r="G40" s="12" t="str">
        <x:v>可选或按子能力启用</x:v>
      </x:c>
      <x:c r="H40" s="12" t="str">
        <x:v>QRY-05, AUTH-01</x:v>
      </x:c>
      <x:c r="I40" s="12" t="str">
        <x:v>未提交的按键默认不外发；关闭历史后不继续积累；查询建议无他人私有词。</x:v>
      </x:c>
    </x:row>
    <x:row r="41" ht="130" customHeight="1">
      <x:c r="A41" s="12" t="str">
        <x:v>RANK-01</x:v>
      </x:c>
      <x:c r="B41" s="12" t="str">
        <x:v>多样性、转载聚类与质量过滤</x:v>
      </x:c>
      <x:c r="C41" s="12" t="str">
        <x:v>M3</x:v>
      </x:c>
      <x:c r="D41" s="12" t="str">
        <x:v>候选、主题、内容指纹</x:v>
      </x:c>
      <x:c r="E41" s="12" t="str">
        <x:v>多样化结果、折叠组、处理原因</x:v>
      </x:c>
      <x:c r="F41" s="12" t="str">
        <x:v>近重复与主题相似分开；有限站点配额；候选正文支持才判质量；原创时间线不靠最早抓取时间猜。</x:v>
      </x:c>
      <x:c r="G41" s="12" t="str">
        <x:v>可选或按子能力启用</x:v>
      </x:c>
      <x:c r="H41" s="12" t="str">
        <x:v>SEARCH-03, READ-03</x:v>
      </x:c>
      <x:c r="I41" s="12" t="str">
        <x:v>site限定不被多样性突破；未知站点不默认降权；被折叠结果可展开并可核验误杀。</x:v>
      </x:c>
    </x:row>
    <x:row r="42" ht="130" customHeight="1">
      <x:c r="A42" s="12" t="str">
        <x:v>RANK-02</x:v>
      </x:c>
      <x:c r="B42" s="12" t="str">
        <x:v>排序解释与来源增量价值</x:v>
      </x:c>
      <x:c r="C42" s="12" t="str">
        <x:v>M3</x:v>
      </x:c>
      <x:c r="D42" s="12" t="str">
        <x:v>执行记录、排名因子、来源贡献</x:v>
      </x:c>
      <x:c r="E42" s="12" t="str">
        <x:v>rank_trace与来源效用报表</x:v>
      </x:c>
      <x:c r="F42" s="12" t="str">
        <x:v>记录真实字段命中、融合、过滤与重排因素；禁用模型事后编造；统计独有有效候选与延迟代价。</x:v>
      </x:c>
      <x:c r="G42" s="12" t="str">
        <x:v>可选或按子能力启用</x:v>
      </x:c>
      <x:c r="H42" s="12" t="str">
        <x:v>RANK-01, MODE-01</x:v>
      </x:c>
      <x:c r="I42" s="12" t="str">
        <x:v>解释与实际排序版本一致；原始分数不冒充事实可信度；只评估采样/当前集合。</x:v>
      </x:c>
    </x:row>
    <x:row r="43" ht="130" customHeight="1">
      <x:c r="A43" s="12" t="str">
        <x:v>SEARCH-05</x:v>
      </x:c>
      <x:c r="B43" s="12" t="str">
        <x:v>空结果诊断与安全放宽建议</x:v>
      </x:c>
      <x:c r="C43" s="12" t="str">
        <x:v>M3</x:v>
      </x:c>
      <x:c r="D43" s="12" t="str">
        <x:v>来源状态、候选过滤日志、预算</x:v>
      </x:c>
      <x:c r="E43" s="12" t="str">
        <x:v>诊断与可选择的下一查询</x:v>
      </x:c>
      <x:c r="F43" s="12" t="str">
        <x:v>区分未收录、访问失败、条件不匹配、预算耗尽；建议修改条件但不自动执行放宽。</x:v>
      </x:c>
      <x:c r="G43" s="12" t="str">
        <x:v>可选或按子能力启用</x:v>
      </x:c>
      <x:c r="H43" s="12" t="str">
        <x:v>QRY-04, MODE-01</x:v>
      </x:c>
      <x:c r="I43" s="12" t="str">
        <x:v>没搜到不显示为不存在；重复补搜无新增时停止；保留原始条件。</x:v>
      </x:c>
    </x:row>
    <x:row r="44" ht="130" customHeight="1">
      <x:c r="A44" s="12" t="str">
        <x:v>FACET-01</x:v>
      </x:c>
      <x:c r="B44" s="12" t="str">
        <x:v>分面筛选与连续细化</x:v>
      </x:c>
      <x:c r="C44" s="12" t="str">
        <x:v>M3</x:v>
      </x:c>
      <x:c r="D44" s="12" t="str">
        <x:v>会话、语言/类型/站点/时间/已读/条件状态</x:v>
      </x:c>
      <x:c r="E44" s="12" t="str">
        <x:v>带范围的计数与新结果版本</x:v>
      </x:c>
      <x:c r="F44" s="12" t="str">
        <x:v>统计当前候选、冻结结果或本地索引时分别标scope/exactness；细化生成新版本，不改老cursor。</x:v>
      </x:c>
      <x:c r="G44" s="12" t="str">
        <x:v>不需要模型</x:v>
      </x:c>
      <x:c r="H44" s="12" t="str">
        <x:v>SESSION-01, QRY-04</x:v>
      </x:c>
      <x:c r="I44" s="12" t="str">
        <x:v>所有计数过ACL；不把候选数量当全网量；未知时间单列。</x:v>
      </x:c>
    </x:row>
    <x:row r="45" ht="130" customHeight="1">
      <x:c r="A45" s="12" t="str">
        <x:v>SRC-05</x:v>
      </x:c>
      <x:c r="B45" s="12" t="str">
        <x:v>自适应来源选择与后续批次扩展</x:v>
      </x:c>
      <x:c r="C45" s="12" t="str">
        <x:v>M3</x:v>
      </x:c>
      <x:c r="D45" s="12" t="str">
        <x:v>查询类别、免费来源健康与增量统计</x:v>
      </x:c>
      <x:c r="E45" s="12" t="str">
        <x:v>来源分配与探测计划</x:v>
      </x:c>
      <x:c r="F45" s="12" t="str">
        <x:v>先规则权重后可选在线实验；公平探索仅在低频预算内；不因缓存命中把失效来源评为好源。</x:v>
      </x:c>
      <x:c r="G45" s="12" t="str">
        <x:v>可选或按子能力启用</x:v>
      </x:c>
      <x:c r="H45" s="12" t="str">
        <x:v>RANK-02, SEARCH-05</x:v>
      </x:c>
      <x:c r="I45" s="12" t="str">
        <x:v>新增源改善或降低效果有分组报告；同源限流不被策略绕过；策略可回滚。</x:v>
      </x:c>
    </x:row>
    <x:row r="46" ht="130" customHeight="1">
      <x:c r="A46" s="12" t="str">
        <x:v>QA-02</x:v>
      </x:c>
      <x:c r="B46" s="12" t="str">
        <x:v>检索相关性与约束基准</x:v>
      </x:c>
      <x:c r="C46" s="12" t="str">
        <x:v>M3</x:v>
      </x:c>
      <x:c r="D46" s="12" t="str">
        <x:v>固定查询、人工标签、离线候选与实时样本</x:v>
      </x:c>
      <x:c r="E46" s="12" t="str">
        <x:v>nDCG/MRR/Precision/约束正确率报告</x:v>
      </x:c>
      <x:c r="F46" s="12" t="str">
        <x:v>开发/回归/留出集分离；中英/精确/导航/多条件分组；漏标候选单列；来源消融。 G0冻结场景/版本/测量方法，M2采基线，M3前冻结非回归阈值与语义覆盖底线；不得在看到留出集结果后改阈值。用户未给硬件前不填虚假延迟。</x:v>
      </x:c>
      <x:c r="G46" s="12" t="str">
        <x:v>不需要模型</x:v>
      </x:c>
      <x:c r="H46" s="12" t="str">
        <x:v>QRY-04, RANK-01, FACET-01, QA-01</x:v>
      </x:c>
      <x:c r="I46" s="12" t="str">
        <x:v>硬条件与引用错误阻断发布；无全网召回率声称；质量提升有人工与复现依据。 未冻结环境/语料hash/阈值/审查人不能通过性能或语义发布门禁；确定性约束失败数必须为0。</x:v>
      </x:c>
    </x:row>
    <x:row r="47" ht="130" customHeight="1">
      <x:c r="A47" s="12" t="str">
        <x:v>MODEL-01</x:v>
      </x:c>
      <x:c r="B47" s="12" t="str">
        <x:v>模型端点、角色配置与能力验证</x:v>
      </x:c>
      <x:c r="C47" s="12" t="str">
        <x:v>M4</x:v>
      </x:c>
      <x:c r="D47" s="12" t="str">
        <x:v>用户模型profile与密钥引用</x:v>
      </x:c>
      <x:c r="E47" s="12" t="str">
        <x:v>有效角色配置与能力矩阵</x:v>
      </x:c>
      <x:c r="F47" s="12" t="str">
        <x:v>文本/嵌入/重排/视觉/转写角色；授权任务覆盖→角色→默认；按协议族适配，不假定兼容名等于全能力。 允许default_text_profile=null、profiles={}的无模型部署；角色缺省继承默认文本profile，显式null禁用。embedder/vision/asr等不自动继承无对应能力的文本profile。</x:v>
      </x:c>
      <x:c r="G47" s="12" t="str">
        <x:v>相应模型能力必需；基础模式仍独立可用</x:v>
      </x:c>
      <x:c r="H47" s="12" t="str">
        <x:v>CONTRACT-02, SEC-01, AUTH-01, OPS-00</x:v>
      </x:c>
      <x:c r="I47" s="12" t="str">
        <x:v>本地与远程都允许；未支持参数报错；不隐式换提供方；禁用供应商托管搜索/浏览器。 无模型配置Schema和程序均接受；角色引用不存在、能力不匹配、非法出站地址由明确层次拒绝。</x:v>
      </x:c>
    </x:row>
    <x:row r="48" ht="130" customHeight="1">
      <x:c r="A48" s="12" t="str">
        <x:v>MODEL-02</x:v>
      </x:c>
      <x:c r="B48" s="12" t="str">
        <x:v>模型预算、结构输出、缓存与数据出站</x:v>
      </x:c>
      <x:c r="C48" s="12" t="str">
        <x:v>M4</x:v>
      </x:c>
      <x:c r="D48" s="12" t="str">
        <x:v>角色调用、证据、Schema、权限</x:v>
      </x:c>
      <x:c r="E48" s="12" t="str">
        <x:v>ModelRun、结构验证与usage</x:v>
      </x:c>
      <x:c r="F48" s="12" t="str">
        <x:v>稳定模板前缀与工具顺序；证据后置；严格Schema验证/有限修复；上下文截断标注；秘密脱敏。 规范化后的角色支持reasoning/timeout/max_concurrency/max_output_tokens/retry_limit；覆盖值不能突破部署硬上限。Schema default只是注解，发布前必须记录完整effective_config。</x:v>
      </x:c>
      <x:c r="G48" s="12" t="str">
        <x:v>相应模型能力必需；基础模式仍独立可用</x:v>
      </x:c>
      <x:c r="H48" s="12" t="str">
        <x:v>MODEL-01, CACHE-01, AUTH-01</x:v>
      </x:c>
      <x:c r="I48" s="12" t="str">
        <x:v>未知usage不记0；模型不能增预算；网页不能扩大工具权限；私有材料未授权不外发。 遗漏/显式null/任务覆盖分别测试；模型请求中不能混入未获准profile；参数不支持不静默丢弃。</x:v>
      </x:c>
    </x:row>
    <x:row r="49" ht="130" customHeight="1">
      <x:c r="A49" s="12" t="str">
        <x:v>SEARCH-02</x:v>
      </x:c>
      <x:c r="B49" s="12" t="str">
        <x:v>自然语言规划与跨语言扩展</x:v>
      </x:c>
      <x:c r="C49" s="12" t="str">
        <x:v>M4</x:v>
      </x:c>
      <x:c r="D49" s="12" t="str">
        <x:v>目标、硬条件、输出语言</x:v>
      </x:c>
      <x:c r="E49" s="12" t="str">
        <x:v>有限QueryPlan和转换记录</x:v>
      </x:c>
      <x:c r="F49" s="12" t="str">
        <x:v>保留protected literals；分离用户条件与推断意图；母语/英文查询按来源能力执行。</x:v>
      </x:c>
      <x:c r="G49" s="12" t="str">
        <x:v>相应模型能力必需；基础模式仍独立可用</x:v>
      </x:c>
      <x:c r="H49" s="12" t="str">
        <x:v>MODEL-02, QRY-04</x:v>
      </x:c>
      <x:c r="I49" s="12" t="str">
        <x:v>原查询保留；派生查询数量受控；模型故障可原词搜索；不是翻译结果后伪称原文。</x:v>
      </x:c>
    </x:row>
    <x:row r="50" ht="130" customHeight="1">
      <x:c r="A50" s="12" t="str">
        <x:v>INDEX-02</x:v>
      </x:c>
      <x:c r="B50" s="12" t="str">
        <x:v>语义向量与混合检索</x:v>
      </x:c>
      <x:c r="C50" s="12" t="str">
        <x:v>M4</x:v>
      </x:c>
      <x:c r="D50" s="12" t="str">
        <x:v>查询/正文、嵌入profile、ACL集合</x:v>
      </x:c>
      <x:c r="E50" s="12" t="str">
        <x:v>向量索引、候选、融合与重排</x:v>
      </x:c>
      <x:c r="F50" s="12" t="str">
        <x:v>hnswlib候选引擎；小集合可暴力核验；过滤在ANN候选准入或授权分区执行；增量outbox和版本隔离。 首版同一可变HNSW实例采用应用级读写隔离：并行只读共享锁；add/update/delete/resize/save/load独占且由单writer执行。代际重建在新实例离线完成，发布时原子切换与引用计数回收。</x:v>
      </x:c>
      <x:c r="G50" s="12" t="str">
        <x:v>相应模型能力必需；基础模式仍独立可用</x:v>
      </x:c>
      <x:c r="H50" s="12" t="str">
        <x:v>MODEL-02, INDEX-03, QRY-03</x:v>
      </x:c>
      <x:c r="I50" s="12" t="str">
        <x:v>不同维度/模型不混用；索引可重建；ANN过滤召回不足标partial；无向量仍有全文搜索。 查询与写入压力交错不发生数据竞争；崩溃重放幂等；k大于可用数不伪造结果；重载后恢复ef/模型空间和水位。</x:v>
      </x:c>
    </x:row>
    <x:row r="51" ht="130" customHeight="1">
      <x:c r="A51" s="12" t="str">
        <x:v>EVID-01</x:v>
      </x:c>
      <x:c r="B51" s="12" t="str">
        <x:v>原文Highlights与证据定位</x:v>
      </x:c>
      <x:c r="C51" s="12" t="str">
        <x:v>M4</x:v>
      </x:c>
      <x:c r="D51" s="12" t="str">
        <x:v>问题、文档版本、长度预算</x:v>
      </x:c>
      <x:c r="E51" s="12" t="str">
        <x:v>原文、字节区间、块/页/时间位置</x:v>
      </x:c>
      <x:c r="F51" s="12" t="str">
        <x:v>词项候选→可选重排/模型选段→本地定位校验；不拼不相邻文本当连续quote；多来源预算。 基础原文选段不依赖MODEL-02完成；模型增强在M4与MODEL-02集成后单独验收，发布capabilities区分basic/semantic。</x:v>
      </x:c>
      <x:c r="G51" s="12" t="str">
        <x:v>可选或按子能力启用</x:v>
      </x:c>
      <x:c r="H51" s="12" t="str">
        <x:v>READ-03, INDEX-01, AUTH-01</x:v>
      </x:c>
      <x:c r="I51" s="12" t="str">
        <x:v>每条已发布quote可从不可变文本精确切出；模型改写进summary；OCR另标识。 无模型仍能产出可定位基础片段；有模型后相关性增强另测，不用基础完成冒充模型增强。</x:v>
      </x:c>
    </x:row>
    <x:row r="52" ht="130" customHeight="1">
      <x:c r="A52" s="12" t="str">
        <x:v>EVID-02</x:v>
      </x:c>
      <x:c r="B52" s="12" t="str">
        <x:v>页内查找、定位与分段阅读</x:v>
      </x:c>
      <x:c r="C52" s="12" t="str">
        <x:v>M4</x:v>
      </x:c>
      <x:c r="D52" s="12" t="str">
        <x:v>extraction_id、词项/范围/游标</x:v>
      </x:c>
      <x:c r="E52" s="12" t="str">
        <x:v>命中块与相邻上下文</x:v>
      </x:c>
      <x:c r="F52" s="12" t="str">
        <x:v>固定版本稳定位置；Markdown与纯文本不同偏移；上下文预算与truncated字段。</x:v>
      </x:c>
      <x:c r="G52" s="12" t="str">
        <x:v>不需要模型</x:v>
      </x:c>
      <x:c r="H52" s="12" t="str">
        <x:v>STORE-01, AUTH-01</x:v>
      </x:c>
      <x:c r="I52" s="12" t="str">
        <x:v>find不重新抓网页；过期/删除证据明确不可用；每次调用重新鉴权。</x:v>
      </x:c>
    </x:row>
    <x:row r="53" ht="130" customHeight="1">
      <x:c r="A53" s="12" t="str">
        <x:v>EXTRACT-01</x:v>
      </x:c>
      <x:c r="B53" s="12" t="str">
        <x:v>规则/模型字段提取与证据核验</x:v>
      </x:c>
      <x:c r="C53" s="12" t="str">
        <x:v>M4</x:v>
      </x:c>
      <x:c r="D53" s="12" t="str">
        <x:v>文档集合、字段Schema、核验要求</x:v>
      </x:c>
      <x:c r="E53" s="12" t="str">
        <x:v>字段值、状态、evidence_ids</x:v>
      </x:c>
      <x:c r="F53" s="12" t="str">
        <x:v>CSS/XPath/正则规则与模型路径分开；直接陈述/推断/未知分开；缺字段可null，不硬填。</x:v>
      </x:c>
      <x:c r="G53" s="12" t="str">
        <x:v>可选或按子能力启用</x:v>
      </x:c>
      <x:c r="H53" s="12" t="str">
        <x:v>EVID-01, MODEL-02</x:v>
      </x:c>
      <x:c r="I53" s="12" t="str">
        <x:v>Schema合法不等于语义正确；未知引用ID拒绝；不支持必填要求报告冲突。</x:v>
      </x:c>
    </x:row>
    <x:row r="54" ht="130" customHeight="1">
      <x:c r="A54" s="12" t="str">
        <x:v>ANSWER-01</x:v>
      </x:c>
      <x:c r="B54" s="12" t="str">
        <x:v>证据回答与冲突呈现</x:v>
      </x:c>
      <x:c r="C54" s="12" t="str">
        <x:v>M4</x:v>
      </x:c>
      <x:c r="D54" s="12" t="str">
        <x:v>问题、证据、模型配置</x:v>
      </x:c>
      <x:c r="E54" s="12" t="str">
        <x:v>答案、claim映射、矛盾和未知</x:v>
      </x:c>
      <x:c r="F54" s="12" t="str">
        <x:v>claim→evidence映射；独立支持性检查；原文定位检查与事实评估分开；可返回只有证据的结果。</x:v>
      </x:c>
      <x:c r="G54" s="12" t="str">
        <x:v>相应模型能力必需；基础模式仍独立可用</x:v>
      </x:c>
      <x:c r="H54" s="12" t="str">
        <x:v>EXTRACT-01, EVID-02</x:v>
      </x:c>
      <x:c r="I54" s="12" t="str">
        <x:v>无证据关键断言删除/限定；对立资料不隐藏；模型记忆不伪装成引用事实。</x:v>
      </x:c>
    </x:row>
    <x:row r="55" ht="130" customHeight="1">
      <x:c r="A55" s="12" t="str">
        <x:v>RESEARCH-01</x:v>
      </x:c>
      <x:c r="B55" s="12" t="str">
        <x:v>有界多轮研究</x:v>
      </x:c>
      <x:c r="C55" s="12" t="str">
        <x:v>M4</x:v>
      </x:c>
      <x:c r="D55" s="12" t="str">
        <x:v>目标、约束、轮次与资源预算</x:v>
      </x:c>
      <x:c r="E55" s="12" t="str">
        <x:v>计划、证据表、报告与停止原因</x:v>
      </x:c>
      <x:c r="F55" s="12" t="str">
        <x:v>拆解→搜索→读取→证据缺口→补搜；查询/文档seen集合；阶段checkpoint；只保存简明决策摘要。</x:v>
      </x:c>
      <x:c r="G55" s="12" t="str">
        <x:v>相应模型能力必需；基础模式仍独立可用</x:v>
      </x:c>
      <x:c r="H55" s="12" t="str">
        <x:v>ANSWER-01, SEARCH-02, JOB-01</x:v>
      </x:c>
      <x:c r="I55" s="12" t="str">
        <x:v>模型不得增预算；无新增证据停止；生成失败保留证据；中止可恢复。</x:v>
      </x:c>
    </x:row>
    <x:row r="56" ht="130" customHeight="1">
      <x:c r="A56" s="12" t="str">
        <x:v>SEARCH-04</x:v>
      </x:c>
      <x:c r="B56" s="12" t="str">
        <x:v>相似网页与示例驱动检索</x:v>
      </x:c>
      <x:c r="C56" s="12" t="str">
        <x:v>M4</x:v>
      </x:c>
      <x:c r="D56" s="12" t="str">
        <x:v>种子网页/文本/快照、local/external/both</x:v>
      </x:c>
      <x:c r="E56" s="12" t="str">
        <x:v>相似但非重复结果和依据</x:v>
      </x:c>
      <x:c r="F56" s="12" t="str">
        <x:v>种子主题表示+本地近邻+免费来源派生查询；区分主题相关、转载与版本。</x:v>
      </x:c>
      <x:c r="G56" s="12" t="str">
        <x:v>可选或按子能力启用</x:v>
      </x:c>
      <x:c r="H56" s="12" t="str">
        <x:v>INDEX-02, EVID-01</x:v>
      </x:c>
      <x:c r="I56" s="12" t="str">
        <x:v>标明搜索覆盖范围；无全网反向索引承诺；私人种子不擅自变成外部查询。</x:v>
      </x:c>
    </x:row>
    <x:row r="57" ht="130" customHeight="1">
      <x:c r="A57" s="12" t="str">
        <x:v>DATASET-01</x:v>
      </x:c>
      <x:c r="B57" s="12" t="str">
        <x:v>实体资料集与逐项条件核验</x:v>
      </x:c>
      <x:c r="C57" s="12" t="str">
        <x:v>M5</x:v>
      </x:c>
      <x:c r="D57" s="12" t="str">
        <x:v>对象描述、条件、字段与数量</x:v>
      </x:c>
      <x:c r="E57" s="12" t="str">
        <x:v>实体记录、合并依据、字段证据</x:v>
      </x:c>
      <x:c r="F57" s="12" t="str">
        <x:v>候选发现→实体消歧→逐条件验证→字段补全；同名不同对象不合并；支持追加与复核。</x:v>
      </x:c>
      <x:c r="G57" s="12" t="str">
        <x:v>可选或按子能力启用</x:v>
      </x:c>
      <x:c r="H57" s="12" t="str">
        <x:v>EXTRACT-01, RESEARCH-01</x:v>
      </x:c>
      <x:c r="I57" s="12" t="str">
        <x:v>unknown不当false；新证据覆盖字段要留历史；搜索相关不能冒充满足。</x:v>
      </x:c>
    </x:row>
    <x:row r="58" ht="130" customHeight="1">
      <x:c r="A58" s="12" t="str">
        <x:v>READ-04</x:v>
      </x:c>
      <x:c r="B58" s="12" t="str">
        <x:v>自适应定位与规则修复</x:v>
      </x:c>
      <x:c r="C58" s="12" t="str">
        <x:v>M5</x:v>
      </x:c>
      <x:c r="D58" s="12" t="str">
        <x:v>已确认规则、历史DOM特征、新页面</x:v>
      </x:c>
      <x:c r="E58" s="12" t="str">
        <x:v>候选定位、置信线索和待确认修复</x:v>
      </x:c>
      <x:c r="F58" s="12" t="str">
        <x:v>结构/邻域/文本属性匹配；模型只能提议；版本化fixture回归后发布规则。</x:v>
      </x:c>
      <x:c r="G58" s="12" t="str">
        <x:v>可选或按子能力启用</x:v>
      </x:c>
      <x:c r="H58" s="12" t="str">
        <x:v>READ-03, EXTRACT-01</x:v>
      </x:c>
      <x:c r="I58" s="12" t="str">
        <x:v>不确定和错误匹配均可报告；失败不静默替换已确认规则；跨站点隔离。</x:v>
      </x:c>
    </x:row>
    <x:row r="59" ht="130" customHeight="1">
      <x:c r="A59" s="12" t="str">
        <x:v>CRAWL-02</x:v>
      </x:c>
      <x:c r="B59" s="12" t="str">
        <x:v>主题定向采集与列表分页策略</x:v>
      </x:c>
      <x:c r="C59" s="12" t="str">
        <x:v>M5</x:v>
      </x:c>
      <x:c r="D59" s="12" t="str">
        <x:v>主题、字段目标、候选链接</x:v>
      </x:c>
      <x:c r="E59" s="12" t="str">
        <x:v>优先队列与覆盖诊断</x:v>
      </x:c>
      <x:c r="F59" s="12" t="str">
        <x:v>启发式+模型排序待抓页面；受控分页/无限滚动；抽样检查漏掉相关页面。</x:v>
      </x:c>
      <x:c r="G59" s="12" t="str">
        <x:v>可选或按子能力启用</x:v>
      </x:c>
      <x:c r="H59" s="12" t="str">
        <x:v>CRAWL-01, SEARCH-02</x:v>
      </x:c>
      <x:c r="I59" s="12" t="str">
        <x:v>优先级不能突破scope/robots/预算；停止条件可解释；不自发整网遍历。</x:v>
      </x:c>
    </x:row>
    <x:row r="60" ht="130" customHeight="1">
      <x:c r="A60" s="12" t="str">
        <x:v>CODE-01</x:v>
      </x:c>
      <x:c r="B60" s="12" t="str">
        <x:v>代码与技术文档专门检索</x:v>
      </x:c>
      <x:c r="C60" s="12" t="str">
        <x:v>M5</x:v>
      </x:c>
      <x:c r="D60" s="12" t="str">
        <x:v>授权仓库/源码/技术文档</x:v>
      </x:c>
      <x:c r="E60" s="12" t="str">
        <x:v>repo/path/lang/commit/line/symbol字段</x:v>
      </x:c>
      <x:c r="F60" s="12" t="str">
        <x:v>文本精确搜索+可选Tree-sitter结构提取；不执行仓库代码或构建脚本；版本化行号与证据。</x:v>
      </x:c>
      <x:c r="G60" s="12" t="str">
        <x:v>不需要模型</x:v>
      </x:c>
      <x:c r="H60" s="12" t="str">
        <x:v>INDEX-02, QRY-02, DOC-01</x:v>
      </x:c>
      <x:c r="I60" s="12" t="str">
        <x:v>函数符号/错误码/版本号可检索；同文件不同commit分开；无通用编译级语义保证。</x:v>
      </x:c>
    </x:row>
    <x:row r="61" ht="130" customHeight="1">
      <x:c r="A61" s="12" t="str">
        <x:v>SCHOLAR-01</x:v>
      </x:c>
      <x:c r="B61" s="12" t="str">
        <x:v>论文/数据集检索与标识消歧</x:v>
      </x:c>
      <x:c r="C61" s="12" t="str">
        <x:v>M5</x:v>
      </x:c>
      <x:c r="D61" s="12" t="str">
        <x:v>已审核科研接口、DOI/arXiv标识</x:v>
      </x:c>
      <x:c r="E61" s="12" t="str">
        <x:v>作者/年份/版本/引用关系和可读状态</x:v>
      </x:c>
      <x:c r="F61" s="12" t="str">
        <x:v>元数据与全文分离；论文版本/撤稿状态只有来源证据时标注；数据集与软件关联可追踪。</x:v>
      </x:c>
      <x:c r="G61" s="12" t="str">
        <x:v>不需要模型</x:v>
      </x:c>
      <x:c r="H61" s="12" t="str">
        <x:v>DATASET-01, SRC-04, DOC-01</x:v>
      </x:c>
      <x:c r="I61" s="12" t="str">
        <x:v>元数据免费不伪称正文可读；DOI归一不混版本；没有来源支持时状态unknown。</x:v>
      </x:c>
    </x:row>
    <x:row r="62" ht="130" customHeight="1">
      <x:c r="A62" s="12" t="str">
        <x:v>PRIVATE-01</x:v>
      </x:c>
      <x:c r="B62" s="12" t="str">
        <x:v>本地文件与授权私人资料导入</x:v>
      </x:c>
      <x:c r="C62" s="12" t="str">
        <x:v>M5</x:v>
      </x:c>
      <x:c r="D62" s="12" t="str">
        <x:v>授权文件/目录/连接器profile</x:v>
      </x:c>
      <x:c r="E62" s="12" t="str">
        <x:v>导入任务、增量状态与私有索引</x:v>
      </x:c>
      <x:c r="F62" s="12" t="str">
        <x:v>本地导入走专用通道；路径/符号链接/文件大小校验；连接器先接口与用户选择的一种，不承诺接遍所有App。</x:v>
      </x:c>
      <x:c r="G62" s="12" t="str">
        <x:v>不需要模型</x:v>
      </x:c>
      <x:c r="H62" s="12" t="str">
        <x:v>DOC-01, INDEX-03, AUTH-01</x:v>
      </x:c>
      <x:c r="I62" s="12" t="str">
        <x:v>网页不能调用任意file://；文件移走/撤权触发删除；私有查询不自动外发。</x:v>
      </x:c>
    </x:row>
    <x:row r="63" ht="130" customHeight="1">
      <x:c r="A63" s="12" t="str">
        <x:v>SRC-06</x:v>
      </x:c>
      <x:c r="B63" s="12" t="str">
        <x:v>免费来源扩充与维护工作台</x:v>
      </x:c>
      <x:c r="C63" s="12" t="str">
        <x:v>M5</x:v>
      </x:c>
      <x:c r="D63" s="12" t="str">
        <x:v>剩余去重候选、失败报告、审核记录</x:v>
      </x:c>
      <x:c r="E63" s="12" t="str">
        <x:v>扩展适配包、回归状态和停用清单</x:v>
      </x:c>
      <x:c r="F63" s="12" t="str">
        <x:v>本期预算示例新增5–10源，逐个合同测试与可用性复核；并集是审计范围不是全部启用承诺。</x:v>
      </x:c>
      <x:c r="G63" s="12" t="str">
        <x:v>不需要模型</x:v>
      </x:c>
      <x:c r="H63" s="12" t="str">
        <x:v>SRC-05, SCHOLAR-01</x:v>
      </x:c>
      <x:c r="I63" s="12" t="str">
        <x:v>新增源有可测增量或明确垂直价值；数量不替代质量；超出数量按单位适配工量另排。</x:v>
      </x:c>
    </x:row>
    <x:row r="64" ht="130" customHeight="1">
      <x:c r="A64" s="12" t="str">
        <x:v>DOC-02</x:v>
      </x:c>
      <x:c r="B64" s="12" t="str">
        <x:v>OCR、复杂版面与视觉辅助读取</x:v>
      </x:c>
      <x:c r="C64" s="12" t="str">
        <x:v>M6</x:v>
      </x:c>
      <x:c r="D64" s="12" t="str">
        <x:v>无文字层/低质量页面、视觉或OCR配置</x:v>
      </x:c>
      <x:c r="E64" s="12" t="str">
        <x:v>识别正文、页/区域坐标、质量状态</x:v>
      </x:c>
      <x:c r="F64" s="12" t="str">
        <x:v>先原生文字；必要时本地OCR或用户视觉模型；图文/表格与阅读顺序分开；降质显式。</x:v>
      </x:c>
      <x:c r="G64" s="12" t="str">
        <x:v>可选或按子能力启用</x:v>
      </x:c>
      <x:c r="H64" s="12" t="str">
        <x:v>DOC-01, MODEL-02, EVID-01</x:v>
      </x:c>
      <x:c r="I64" s="12" t="str">
        <x:v>OCR文本不冒充原生文字；定位回页面而非声称识别绝对正确；无收费OCR回退。</x:v>
      </x:c>
    </x:row>
    <x:row r="65" ht="130" customHeight="1">
      <x:c r="A65" s="12" t="str">
        <x:v>IMAGE-01</x:v>
      </x:c>
      <x:c r="B65" s="12" t="str">
        <x:v>图片检索与图片资产索引</x:v>
      </x:c>
      <x:c r="C65" s="12" t="str">
        <x:v>M6</x:v>
      </x:c>
      <x:c r="D65" s="12" t="str">
        <x:v>免费图片来源/授权采集、查询</x:v>
      </x:c>
      <x:c r="E65" s="12" t="str">
        <x:v>image_url、landing_url、尺寸、文本、权利信息</x:v>
      </x:c>
      <x:c r="F65" s="12" t="str">
        <x:v>图片与落地页分开建模；alt/caption与来源元数据索引；可选图像嵌入；缺权利声明为unknown。</x:v>
      </x:c>
      <x:c r="G65" s="12" t="str">
        <x:v>可选或按子能力启用</x:v>
      </x:c>
      <x:c r="H65" s="12" t="str">
        <x:v>INDEX-02, SRC-06</x:v>
      </x:c>
      <x:c r="I65" s="12" t="str">
        <x:v>缩略图不冒充原图；公开可见不等于可再分发；图片维度与类型校验。</x:v>
      </x:c>
    </x:row>
    <x:row r="66" ht="130" customHeight="1">
      <x:c r="A66" s="12" t="str">
        <x:v>IMAGE-02</x:v>
      </x:c>
      <x:c r="B66" s="12" t="str">
        <x:v>以图搜图、近重复与文本搜图</x:v>
      </x:c>
      <x:c r="C66" s="12" t="str">
        <x:v>M6</x:v>
      </x:c>
      <x:c r="D66" s="12" t="str">
        <x:v>授权图片/URL/文本、local/external/both</x:v>
      </x:c>
      <x:c r="E66" s="12" t="str">
        <x:v>重复组、视觉/语义近邻、证据</x:v>
      </x:c>
      <x:c r="F66" s="12" t="str">
        <x:v>感知哈希查近重复，图像/跨模态向量查相似；外部反向接口仅经免费审核；私图外发需单独允许。</x:v>
      </x:c>
      <x:c r="G66" s="12" t="str">
        <x:v>可选或按子能力启用</x:v>
      </x:c>
      <x:c r="H66" s="12" t="str">
        <x:v>IMAGE-01, DOC-02</x:v>
      </x:c>
      <x:c r="I66" s="12" t="str">
        <x:v>没有外部反向源时明确只搜自有图库；不把相似视为同一；不得暗传图片。</x:v>
      </x:c>
    </x:row>
    <x:row r="67" ht="130" customHeight="1">
      <x:c r="A67" s="12" t="str">
        <x:v>AV-01</x:v>
      </x:c>
      <x:c r="B67" s="12" t="str">
        <x:v>视频音频搜索与字幕时间戳检索</x:v>
      </x:c>
      <x:c r="C67" s="12" t="str">
        <x:v>M6</x:v>
      </x:c>
      <x:c r="D67" s="12" t="str">
        <x:v>媒体来源、字幕、授权媒体文件</x:v>
      </x:c>
      <x:c r="E67" s="12" t="str">
        <x:v>资产、时间段、字幕命中与播放定位</x:v>
      </x:c>
      <x:c r="F67" s="12" t="str">
        <x:v>链接发现、已有字幕、转写分别记录；毫秒时间轴与文本块绑定；不绕过DRM/平台限制。</x:v>
      </x:c>
      <x:c r="G67" s="12" t="str">
        <x:v>不需要模型</x:v>
      </x:c>
      <x:c r="H67" s="12" t="str">
        <x:v>SRC-06, EVID-01, INDEX-02</x:v>
      </x:c>
      <x:c r="I67" s="12" t="str">
        <x:v>找到视频不冒充已理解；时间戳命中可回放验证；无法获取媒体仍可返回链接元数据。</x:v>
      </x:c>
    </x:row>
    <x:row r="68" ht="130" customHeight="1">
      <x:c r="A68" s="12" t="str">
        <x:v>AV-02</x:v>
      </x:c>
      <x:c r="B68" s="12" t="str">
        <x:v>转写、关键帧与视频内容理解</x:v>
      </x:c>
      <x:c r="C68" s="12" t="str">
        <x:v>M6</x:v>
      </x:c>
      <x:c r="D68" s="12" t="str">
        <x:v>授权媒体、ASR/vision配置和时长预算</x:v>
      </x:c>
      <x:c r="E68" s="12" t="str">
        <x:v>转写、关键帧描述、片段级证据</x:v>
      </x:c>
      <x:c r="F68" s="12" t="str">
        <x:v>本地whisper.cpp或用户ASR端点；安全解码/按需采样关键帧；组合字幕/画面/声音证据但注明采样。</x:v>
      </x:c>
      <x:c r="G68" s="12" t="str">
        <x:v>可选或按子能力启用</x:v>
      </x:c>
      <x:c r="H68" s="12" t="str">
        <x:v>AV-01, MODEL-02, DOC-02</x:v>
      </x:c>
      <x:c r="I68" s="12" t="str">
        <x:v>转写与原字幕分开；视频采样不能声称每帧检查；长媒体有时长/显存/资源限额；无模型则能力缺失。</x:v>
      </x:c>
    </x:row>
    <x:row r="69" ht="130" customHeight="1">
      <x:c r="A69" s="12" t="str">
        <x:v>UPDATE-01</x:v>
      </x:c>
      <x:c r="B69" s="12" t="str">
        <x:v>网页快照变化与增量刷新</x:v>
      </x:c>
      <x:c r="C69" s="12" t="str">
        <x:v>M7</x:v>
      </x:c>
      <x:c r="D69" s="12" t="str">
        <x:v>已保存集合、刷新条件</x:v>
      </x:c>
      <x:c r="E69" s="12" t="str">
        <x:v>版本差异与字段变更</x:v>
      </x:c>
      <x:c r="F69" s="12" t="str">
        <x:v>ETag/Last-Modified验证；正文指纹与解析版本分别比较；生成模型可评估重要性但不改原始差异。</x:v>
      </x:c>
      <x:c r="G69" s="12" t="str">
        <x:v>可选或按子能力启用</x:v>
      </x:c>
      <x:c r="H69" s="12" t="str">
        <x:v>INDEX-03, CACHE-01, EXTRACT-01</x:v>
      </x:c>
      <x:c r="I69" s="12" t="str">
        <x:v>超时/403不当删除；304仅更新checked_at；改变解析器不伪称网页改动。</x:v>
      </x:c>
    </x:row>
    <x:row r="70" ht="130" customHeight="1">
      <x:c r="A70" s="12" t="str">
        <x:v>WORKSPACE-01</x:v>
      </x:c>
      <x:c r="B70" s="12" t="str">
        <x:v>历史、收藏、标签与搜索工作区</x:v>
      </x:c>
      <x:c r="C70" s="12" t="str">
        <x:v>M7</x:v>
      </x:c>
      <x:c r="D70" s="12" t="str">
        <x:v>搜索会话、选中结果、备注</x:v>
      </x:c>
      <x:c r="E70" s="12" t="str">
        <x:v>可继续的工作区与收藏</x:v>
      </x:c>
      <x:c r="F70" s="12" t="str">
        <x:v>历史默认可关闭、TTL与删除；收藏记录URL及可选快照引用；共享仍逐项权限。</x:v>
      </x:c>
      <x:c r="G70" s="12" t="str">
        <x:v>不需要模型</x:v>
      </x:c>
      <x:c r="H70" s="12" t="str">
        <x:v>FACET-01, AUTH-01, EVID-02</x:v>
      </x:c>
      <x:c r="I70" s="12" t="str">
        <x:v>收藏不自动授权永久保存正文；删除历史不删用户另存集合；共享不越权。</x:v>
      </x:c>
    </x:row>
    <x:row r="71" ht="130" customHeight="1">
      <x:c r="A71" s="12" t="str">
        <x:v>PREF-01</x:v>
      </x:c>
      <x:c r="B71" s="12" t="str">
        <x:v>排序偏好、站点屏蔽与隐私开关</x:v>
      </x:c>
      <x:c r="C71" s="12" t="str">
        <x:v>M7</x:v>
      </x:c>
      <x:c r="D71" s="12" t="str">
        <x:v>显式站点/语言/时间偏好</x:v>
      </x:c>
      <x:c r="E71" s="12" t="str">
        <x:v>版本化偏好与可撤回排序</x:v>
      </x:c>
      <x:c r="F71" s="12" t="str">
        <x:v>偏好只改变软排序；屏蔽结果可解释；不暗建敏感画像；遥测默认关闭/脱敏。</x:v>
      </x:c>
      <x:c r="G71" s="12" t="str">
        <x:v>不需要模型</x:v>
      </x:c>
      <x:c r="H71" s="12" t="str">
        <x:v>RANK-02, WORKSPACE-01</x:v>
      </x:c>
      <x:c r="I71" s="12" t="str">
        <x:v>硬条件优先；切换偏好形成新结果版本；关闭个性化恢复基线。</x:v>
      </x:c>
    </x:row>
    <x:row r="72" ht="130" customHeight="1">
      <x:c r="A72" s="12" t="str">
        <x:v>WATCH-01</x:v>
      </x:c>
      <x:c r="B72" s="12" t="str">
        <x:v>保存查询、订阅新增与更新监控</x:v>
      </x:c>
      <x:c r="C72" s="12" t="str">
        <x:v>M7</x:v>
      </x:c>
      <x:c r="D72" s="12" t="str">
        <x:v>查询/集合、时区、周期、变化条件</x:v>
      </x:c>
      <x:c r="E72" s="12" t="str">
        <x:v>订阅、运行记录、去重通知</x:v>
      </x:c>
      <x:c r="F72" s="12" t="str">
        <x:v>发现新对象与刷新旧页两种任务；保存query版本与seen记录；失败不推进成功水位；默认无外部推送。 每个订阅按source保存成功checkpoint、扫描区间、覆盖不足和去重集合；一个来源失败不推进其水位，也不阻止其他成功源形成可重放结果。交付事件与扫描提交分两份事务outbox。</x:v>
      </x:c>
      <x:c r="G72" s="12" t="str">
        <x:v>不需要模型</x:v>
      </x:c>
      <x:c r="H72" s="12" t="str">
        <x:v>UPDATE-01, WORKSPACE-01, JOB-01</x:v>
      </x:c>
      <x:c r="I72" s="12" t="str">
        <x:v>停机补跑有catch-up上限；时区/DST行为明确；只通知新增或新满足条件；不借监控绕过上游限流。 两源一成一败后恢复不漏失败源内容；重试通知沿用event_id；不保证外部收件方恰好一次。</x:v>
      </x:c>
    </x:row>
    <x:row r="73" ht="130" customHeight="1">
      <x:c r="A73" s="12" t="str">
        <x:v>EXPORT-01</x:v>
      </x:c>
      <x:c r="B73" s="12" t="str">
        <x:v>搜索结果、证据与资料集导出</x:v>
      </x:c>
      <x:c r="C73" s="12" t="str">
        <x:v>M7</x:v>
      </x:c>
      <x:c r="D73" s="12" t="str">
        <x:v>结果/集合、格式、授权范围</x:v>
      </x:c>
      <x:c r="E73" s="12" t="str">
        <x:v>JSON/JSONL/CSV/Markdown/引用格式</x:v>
      </x:c>
      <x:c r="F73" s="12" t="str">
        <x:v>保留来源和版本；BibTeX等按类型；全文包需存储授权；CSV公式注入防护；大导出异步与可取消。</x:v>
      </x:c>
      <x:c r="G73" s="12" t="str">
        <x:v>不需要模型</x:v>
      </x:c>
      <x:c r="H73" s="12" t="str">
        <x:v>WORKSPACE-01, DATASET-01</x:v>
      </x:c>
      <x:c r="I73" s="12" t="str">
        <x:v>导出时再次鉴权；不泄露Cookie/密钥；导出引用可定位；删除撤权后的旧导出按保留策略失效。</x:v>
      </x:c>
    </x:row>
    <x:row r="74" ht="130" customHeight="1">
      <x:c r="A74" s="12" t="str">
        <x:v>WEBHOOK-01</x:v>
      </x:c>
      <x:c r="B74" s="12" t="str">
        <x:v>通知出口与Webhook</x:v>
      </x:c>
      <x:c r="C74" s="12" t="str">
        <x:v>M7</x:v>
      </x:c>
      <x:c r="D74" s="12" t="str">
        <x:v>管理员批准的通知目标</x:v>
      </x:c>
      <x:c r="E74" s="12" t="str">
        <x:v>签名事件、重试与死信</x:v>
      </x:c>
      <x:c r="F74" s="12" t="str">
        <x:v>内部通知优先；Webhook签名/重放保护/重试上限/出口限制；不内置收费通知平台。</x:v>
      </x:c>
      <x:c r="G74" s="12" t="str">
        <x:v>不需要模型</x:v>
      </x:c>
      <x:c r="H74" s="12" t="str">
        <x:v>WATCH-01, EXPORT-01, SEC-01</x:v>
      </x:c>
      <x:c r="I74" s="12" t="str">
        <x:v>DNS变化与重定向同样检查；payload不包含未授权正文；失败不重复计一次新事件。</x:v>
      </x:c>
    </x:row>
    <x:row r="75" ht="130" customHeight="1">
      <x:c r="A75" s="12" t="str">
        <x:v>API-01</x:v>
      </x:c>
      <x:c r="B75" s="12" t="str">
        <x:v>完整协议覆盖、版本迁移与扩展接口收尾</x:v>
      </x:c>
      <x:c r="C75" s="12" t="str">
        <x:v>M7</x:v>
      </x:c>
      <x:c r="D75" s="12" t="str">
        <x:v>统一业务合同、客户端能力</x:v>
      </x:c>
      <x:c r="E75" s="12" t="str">
        <x:v>版本化API、MCP工具、CLI、Skills说明</x:v>
      </x:c>
      <x:c r="F75" s="12" t="str">
        <x:v>薄协议层共用授权/预算；MCP能力协商、取消映射；只发布实现工具；插件进程握手与schema版本。 本任务仅补全API-00之后的业务映射、兼容与扩展，不能成为M1/M2的反向依赖。</x:v>
      </x:c>
      <x:c r="G75" s="12" t="str">
        <x:v>不需要模型</x:v>
      </x:c>
      <x:c r="H75" s="12" t="str">
        <x:v>API-00, RESEARCH-01, IMAGE-02, AV-02, EXPORT-01</x:v>
      </x:c>
      <x:c r="I75" s="12" t="str">
        <x:v>CLI/HTTP/MCP同请求结果语义一致；原生插件视为可信代码；不为每个协议实现一套逻辑。 跨协议完成矩阵逐项对照已实现功能；旧版本兼容与故意非法请求有回归。</x:v>
      </x:c>
    </x:row>
    <x:row r="76" ht="130" customHeight="1">
      <x:c r="A76" s="12" t="str">
        <x:v>UI-02</x:v>
      </x:c>
      <x:c r="B76" s="12" t="str">
        <x:v>完整搜索/资料/爬虫/研究操作台</x:v>
      </x:c>
      <x:c r="C76" s="12" t="str">
        <x:v>M7</x:v>
      </x:c>
      <x:c r="D76" s="12" t="str">
        <x:v>全部已实现业务能力</x:v>
      </x:c>
      <x:c r="E76" s="12" t="str">
        <x:v>多类型结果页、资料阅读器、任务与模型配置台</x:v>
      </x:c>
      <x:c r="F76" s="12" t="str">
        <x:v>分面、预览、来源解释、证据跳转、订阅、媒体时间轴、未知状态、键盘导航与可访问标签。</x:v>
      </x:c>
      <x:c r="G76" s="12" t="str">
        <x:v>不需要模型</x:v>
      </x:c>
      <x:c r="H76" s="12" t="str">
        <x:v>API-01, PREF-01, WEBHOOK-01</x:v>
      </x:c>
      <x:c r="I76" s="12" t="str">
        <x:v>在慢源/错误/部分结果下仍可操作；所有功能有空态与错误态；无只好看不可用入口。</x:v>
      </x:c>
    </x:row>
    <x:row r="77" ht="130" customHeight="1">
      <x:c r="A77" s="12" t="str">
        <x:v>OPS-01</x:v>
      </x:c>
      <x:c r="B77" s="12" t="str">
        <x:v>观测、诊断与资源容量基线</x:v>
      </x:c>
      <x:c r="C77" s="12" t="str">
        <x:v>M8</x:v>
      </x:c>
      <x:c r="D77" s="12" t="str">
        <x:v>事件/指标/机器基线</x:v>
      </x:c>
      <x:c r="E77" s="12" t="str">
        <x:v>来源、读取、索引、模型、会话指标</x:v>
      </x:c>
      <x:c r="F77" s="12" t="str">
        <x:v>分阶段P50/P95、TTFR、缓存、索引滞后、浏览器占比、usage未知率；无用户原文默认日志。 以OPS-00已经采集的事件和指标完成容量测量与诊断界面，不推迟基础日志到M8。</x:v>
      </x:c>
      <x:c r="G77" s="12" t="str">
        <x:v>不需要模型</x:v>
      </x:c>
      <x:c r="H77" s="12" t="str">
        <x:v>OPS-00, QA-02, UI-02</x:v>
      </x:c>
      <x:c r="I77" s="12" t="str">
        <x:v>性能分冷热缓存/页面类别/模型条件；不以框架宣传QPS当产品指标。 原始测量绑定commit/机器/负载/模型配置；无URL或query高基数标签。</x:v>
      </x:c>
    </x:row>
    <x:row r="78" ht="130" customHeight="1">
      <x:c r="A78" s="12" t="str">
        <x:v>OPS-02</x:v>
      </x:c>
      <x:c r="B78" s="12" t="str">
        <x:v>备份恢复、迁移与内容保留</x:v>
      </x:c>
      <x:c r="C78" s="12" t="str">
        <x:v>M8</x:v>
      </x:c>
      <x:c r="D78" s="12" t="str">
        <x:v>元数据/快照/索引/删除日志</x:v>
      </x:c>
      <x:c r="E78" s="12" t="str">
        <x:v>一致性备份、恢复演练和迁移脚本</x:v>
      </x:c>
      <x:c r="F78" s="12" t="str">
        <x:v>在线备份接口与blob水位manifest；索引可重建；加密密钥不进普通备份；旧版本读写兼容窗口。 以BACKUP-00底座完成长期保留、密钥轮换、升级/回滚与删除日志异地/离线保护演练；不承诺已交付外部副本可撤销。</x:v>
      </x:c>
      <x:c r="G78" s="12" t="str">
        <x:v>不需要模型</x:v>
      </x:c>
      <x:c r="H78" s="12" t="str">
        <x:v>BACKUP-00, INDEX-03, WATCH-01</x:v>
      </x:c>
      <x:c r="I78" s="12" t="str">
        <x:v>不是直接复制运行中的DB文件；恢复后权限/删除仍有效；坏索引可独立重建。 恢复副本验证最新撤销水位后才能退出隔离；测试新旧Schema/FTS/向量重建。</x:v>
      </x:c>
    </x:row>
    <x:row r="79" ht="130" customHeight="1">
      <x:c r="A79" s="12" t="str">
        <x:v>SCALE-01</x:v>
      </x:c>
      <x:c r="B79" s="12" t="str">
        <x:v>多工作节点与公平调度</x:v>
      </x:c>
      <x:c r="C79" s="12" t="str">
        <x:v>M8</x:v>
      </x:c>
      <x:c r="D79" s="12" t="str">
        <x:v>多节点、租户配额、共享任务协调</x:v>
      </x:c>
      <x:c r="E79" s="12" t="str">
        <x:v>远程worker、fencing、背压与全局限流</x:v>
      </x:c>
      <x:c r="F79" s="12" t="str">
        <x:v>worker走核心RPC不共享SQLite文件；核心单写瓶颈实测后迁移事务存储；自研索引分片后端按接口替换。</x:v>
      </x:c>
      <x:c r="G79" s="12" t="str">
        <x:v>不需要模型</x:v>
      </x:c>
      <x:c r="H79" s="12" t="str">
        <x:v>OPS-01, JOB-01, OPS-02, API-00</x:v>
      </x:c>
      <x:c r="I79" s="12" t="str">
        <x:v>失联节点不可继续提交；跨节点同源配额有效；多租户公平；不得把WAL放网络盘。</x:v>
      </x:c>
    </x:row>
    <x:row r="80" ht="130" customHeight="1">
      <x:c r="A80" s="12" t="str">
        <x:v>QA-03</x:v>
      </x:c>
      <x:c r="B80" s="12" t="str">
        <x:v>安全/故障/多模态/端到端发布门禁</x:v>
      </x:c>
      <x:c r="C80" s="12" t="str">
        <x:v>M8</x:v>
      </x:c>
      <x:c r="D80" s="12" t="str">
        <x:v>完整功能样例、基准、安全与混沌用例</x:v>
      </x:c>
      <x:c r="E80" s="12" t="str">
        <x:v>签字验收包与可复现报告</x:v>
      </x:c>
      <x:c r="F80" s="12" t="str">
        <x:v>扩展原A-01…A-22；新增B系列；模糊测试URL/查询/解析器；模型失败/磁盘满/重启/取消故障注入。</x:v>
      </x:c>
      <x:c r="G80" s="12" t="str">
        <x:v>不需要模型</x:v>
      </x:c>
      <x:c r="H80" s="12" t="str">
        <x:v>OPS-01, OPS-02, SCALE-01</x:v>
      </x:c>
      <x:c r="I80" s="12" t="str">
        <x:v>安全/权限/约束/quote错误为阻断；多媒体和Windows不只跑空壳构建；报告风险与覆盖缺口。</x:v>
      </x:c>
    </x:row>
    <x:row r="81" ht="130" customHeight="1">
      <x:c r="A81" s="12" t="str">
        <x:v>RELEASE-01</x:v>
      </x:c>
      <x:c r="B81" s="12" t="str">
        <x:v>可复现打包、升级与运维手册</x:v>
      </x:c>
      <x:c r="C81" s="12" t="str">
        <x:v>M8</x:v>
      </x:c>
      <x:c r="D81" s="12" t="str">
        <x:v>构建产物、锁文件、SBOM、配置模板</x:v>
      </x:c>
      <x:c r="E81" s="12" t="str">
        <x:v>Linux/Windows包、升级回滚与开发文档</x:v>
      </x:c>
      <x:c r="F81" s="12" t="str">
        <x:v>原生服务包优先；容器可选而非强制付费桌面依赖；基础组件/浏览器/模型权重分开授权与安装；无内置密钥。</x:v>
      </x:c>
      <x:c r="G81" s="12" t="str">
        <x:v>不需要模型</x:v>
      </x:c>
      <x:c r="H81" s="12" t="str">
        <x:v>QA-03, GOV-01</x:v>
      </x:c>
      <x:c r="I81" s="12" t="str">
        <x:v>干净环境能按文档启动；旧数据升级/回滚演练；全部能力有任务映射及已实现清单。</x:v>
      </x:c>
    </x:row>
    <x:row r="82" ht="130" customHeight="1">
      <x:c r="A82" s="36" t="str">
        <x:v>API-00</x:v>
      </x:c>
      <x:c r="B82" s="36" t="str">
        <x:v>基础HTTP/CLI/MCP合同与早期集成</x:v>
      </x:c>
      <x:c r="C82" s="36" t="str">
        <x:v>M1</x:v>
      </x:c>
      <x:c r="D82" s="36" t="str">
        <x:v>核心合同、假来源和任务fixture</x:v>
      </x:c>
      <x:c r="E82" s="36" t="str">
        <x:v>可测试的search/read/jobs端口、CLI/MCP最小适配、协议一致性样例</x:v>
      </x:c>
      <x:c r="F82" s="36" t="str">
        <x:v>M1先实现已可用search/jobs，M2接read；未实现端口不公布。API-01保留全能力覆盖/版本迁移/扩展握手收尾，不再是第一份协议实现。</x:v>
      </x:c>
      <x:c r="G82" s="36" t="str">
        <x:v>不需要模型</x:v>
      </x:c>
      <x:c r="H82" s="36" t="str">
        <x:v>CONTRACT-02, AUTH-01, JOB-01, QA-01</x:v>
      </x:c>
      <x:c r="I82" s="36" t="str">
        <x:v>同一授权请求在HTTP/CLI/MCP经过同一核心；无媒体验收依赖；能力未实现或禁用时明确返回不可用。</x:v>
      </x:c>
    </x:row>
    <x:row r="83" ht="130" customHeight="1">
      <x:c r="A83" s="36" t="str">
        <x:v>OPS-00</x:v>
      </x:c>
      <x:c r="B83" s="36" t="str">
        <x:v>早期追踪、资源账本与诊断底座</x:v>
      </x:c>
      <x:c r="C83" s="36" t="str">
        <x:v>M0</x:v>
      </x:c>
      <x:c r="D83" s="36" t="str">
        <x:v>任务、请求、worker与权限合同</x:v>
      </x:c>
      <x:c r="E83" s="36" t="str">
        <x:v>关联ID、阶段事件、来源/读取/模型资源指标及脱敏日志</x:v>
      </x:c>
      <x:c r="F83" s="36" t="str">
        <x:v>M0建立可诊断底座；metrics不以URL或原始query作高基数标签。OPS-01只做全链容量报告与运营面板收尾。</x:v>
      </x:c>
      <x:c r="G83" s="36" t="str">
        <x:v>不需要模型</x:v>
      </x:c>
      <x:c r="H83" s="36" t="str">
        <x:v>CONTRACT-01, JOB-01, AUTH-01</x:v>
      </x:c>
      <x:c r="I83" s="36" t="str">
        <x:v>单请求可串联授权/调度/获取/提交；超时和重试可解释；日志无密钥；指标样例的资源计数一致。</x:v>
      </x:c>
    </x:row>
    <x:row r="84" ht="130" customHeight="1">
      <x:c r="A84" s="36" t="str">
        <x:v>BACKUP-00</x:v>
      </x:c>
      <x:c r="B84" s="36" t="str">
        <x:v>早期一致备份、恢复隔离与撤销水位</x:v>
      </x:c>
      <x:c r="C84" s="36" t="str">
        <x:v>M0</x:v>
      </x:c>
      <x:c r="D84" s="36" t="str">
        <x:v>元数据库、不可变blob、撤销日志</x:v>
      </x:c>
      <x:c r="E84" s="36" t="str">
        <x:v>可恢复备份清单、独立撤销日志保护策略、隔离恢复工具</x:v>
      </x:c>
      <x:c r="F84" s="36" t="str">
        <x:v>使用一致快照API或停写流程；不可只复制活跃DB主文件。恢复先隔离，校验blob清单与撤销水位，水位缺失不得对外发布；OPS-02负责长期归档与升级演练。</x:v>
      </x:c>
      <x:c r="G84" s="36" t="str">
        <x:v>不需要模型</x:v>
      </x:c>
      <x:c r="H84" s="36" t="str">
        <x:v>STORE-01, AUTH-01, JOB-01, QA-01</x:v>
      </x:c>
      <x:c r="I84" s="36" t="str">
        <x:v>M0恢复固定资料与任务；M2补FTS回放；M4补向量重建。删除前备份恢复后不能复活删除内容；撤销日志不可验证时保持隔离。</x:v>
      </x:c>
    </x:row>
    <x:row r="85" ht="130" customHeight="1">
      <x:c r="A85" s="36" t="str">
        <x:v>ROBOTS-01</x:v>
      </x:c>
      <x:c r="B85" s="36" t="str">
        <x:v>爬虫准入与robots前置策略</x:v>
      </x:c>
      <x:c r="C85" s="36" t="str">
        <x:v>M1</x:v>
      </x:c>
      <x:c r="D85" s="36" t="str">
        <x:v>已审核站点、爬虫标识、robots响应fixture</x:v>
      </x:c>
      <x:c r="E85" s="36" t="str">
        <x:v>版本化robots决策、缓存和请求准入token</x:v>
      </x:c>
      <x:c r="F85" s="36" t="str">
        <x:v>与HTML跟链调度解耦；策略检查先于递归请求。成功/重定向/4xx/5xx/网络失败/缓存过期分别处理；429执行限流退避。CRAWL-03只负责页面索引/摘要发布规则。</x:v>
      </x:c>
      <x:c r="G85" s="36" t="str">
        <x:v>不需要模型</x:v>
      </x:c>
      <x:c r="H85" s="36" t="str">
        <x:v>SEC-01, JOB-01, SRC-01, QA-01</x:v>
      </x:c>
      <x:c r="I85" s="36" t="str">
        <x:v>未取得有效准入前不得发爬虫内容请求；robots访问本身受网络/总预算控制；网络或服务器不可达且无适用缓存时不放行。</x:v>
      </x:c>
    </x:row>
    <x:row r="86" ht="130" customHeight="1">
      <x:c r="A86" s="36" t="str">
        <x:v>SPIKE-01</x:v>
      </x:c>
      <x:c r="B86" s="36" t="str">
        <x:v>关键技术可行性与版本冻结验证</x:v>
      </x:c>
      <x:c r="C86" s="36" t="str">
        <x:v>M0</x:v>
      </x:c>
      <x:c r="D86" s="36" t="str">
        <x:v>候选浏览器/FTS/中文/PDF组件与目标平台</x:v>
      </x:c>
      <x:c r="E86" s="36" t="str">
        <x:v>ADR、可复现实验、版本/构建选项/许可证锁与能力缺口</x:v>
      </x:c>
      <x:c r="F86" s="36" t="str">
        <x:v>先验证浏览器出口约束、C++构建、中文/符号FTS回映、PDF基础提取，再投入大规模实现；未通过的平台能力fail-closed，不换成四个成品后端。</x:v>
      </x:c>
      <x:c r="G86" s="36" t="str">
        <x:v>不需要模型</x:v>
      </x:c>
      <x:c r="H86" s="36" t="str">
        <x:v>CONTRACT-01, SEC-01, QA-01</x:v>
      </x:c>
      <x:c r="I86" s="36" t="str">
        <x:v>记录输入/环境/版本/步骤/失败；浏览器Windows隔离若未通过可继续无网与其他已验证能力，不得宣布Windows全功能通过。</x:v>
      </x:c>
    </x:row>
    <x:row r="87" ht="130" customHeight="1">
      <x:c r="A87" s="36" t="str">
        <x:v>CONTRACT-02</x:v>
      </x:c>
      <x:c r="B87" s="36" t="str">
        <x:v>可执行配置合同、默认值与负例校验</x:v>
      </x:c>
      <x:c r="C87" s="36" t="str">
        <x:v>M0</x:v>
      </x:c>
      <x:c r="D87" s="36" t="str">
        <x:v>查询、来源、模型Schema及部署策略</x:v>
      </x:c>
      <x:c r="E87" s="36" t="str">
        <x:v>规范化器、结构/语义/授权分层校验合同、跨语言测试向量</x:v>
      </x:c>
      <x:c r="F87" s="36" t="str">
        <x:v>Schema只做结构；程序补复杂度、引用、时间、权限和能力校验。无模型部署合法；默认值由规范化器生成；角色覆盖与明确禁用不混淆。</x:v>
      </x:c>
      <x:c r="G87" s="36" t="str">
        <x:v>不需要模型</x:v>
      </x:c>
      <x:c r="H87" s="36" t="str">
        <x:v>CONTRACT-01, QA-01</x:v>
      </x:c>
      <x:c r="I87" s="36" t="str">
        <x:v>Python合同样例只作fixture；正式C++实现要通过同一测试向量。无模型配置、角色并发、无效日期、坏profile、深AST均有正负例。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771214b24c94182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34" hidden="0" customWidth="1"/>
    <x:col min="4" max="4" width="36" hidden="0" customWidth="1"/>
    <x:col min="5" max="5" width="18" hidden="0" customWidth="1"/>
    <x:col min="6" max="6" width="44" hidden="0" customWidth="1"/>
    <x:col min="7" max="7" width="52" hidden="0" customWidth="1"/>
    <x:col min="8" max="8" width="14" hidden="0" customWidth="1"/>
  </x:cols>
  <x:sheetData>
    <x:row r="1" ht="34" customHeight="1">
      <x:c r="A1" s="3" t="str">
        <x:v>计划验收 · 161项（产品用例全部未执行）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A22 + B40 + C16 + FT83；设计合同样例验证另见validation文件，不算产品验收通过。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9" t="str">
        <x:v>用例ID</x:v>
      </x:c>
      <x:c r="B4" s="19" t="str">
        <x:v>分类</x:v>
      </x:c>
      <x:c r="C4" s="19" t="str">
        <x:v>用例名称</x:v>
      </x:c>
      <x:c r="D4" s="19" t="str">
        <x:v>关联功能</x:v>
      </x:c>
      <x:c r="E4" s="19" t="str">
        <x:v>阶段</x:v>
      </x:c>
      <x:c r="F4" s="19" t="str">
        <x:v>场景/输入</x:v>
      </x:c>
      <x:c r="G4" s="19" t="str">
        <x:v>通过条件</x:v>
      </x:c>
      <x:c r="H4" s="19" t="str">
        <x:v>执行状态</x:v>
      </x:c>
    </x:row>
    <x:row r="5" ht="76" customHeight="1">
      <x:c r="A5" s="12" t="str">
        <x:v>A-01</x:v>
      </x:c>
      <x:c r="B5" s="12" t="str">
        <x:v>保留基线</x:v>
      </x:c>
      <x:c r="C5" s="12" t="str">
        <x:v>禁用或故障所有参考产品服务</x:v>
      </x:c>
      <x:c r="D5" s="12" t="str">
        <x:v>跨模块</x:v>
      </x:c>
      <x:c r="E5" s="12" t="str">
        <x:v>按关联模块</x:v>
      </x:c>
      <x:c r="F5" s="12" t="str">
        <x:v>依据功能合同建立固定正/负样例</x:v>
      </x:c>
      <x:c r="G5" s="12" t="str">
        <x:v>自研基础流程仍可执行；无 SearXNG/Scrapling/Firecrawl/Exa 产品后端依赖</x:v>
      </x:c>
      <x:c r="H5" s="24" t="str">
        <x:v>未执行</x:v>
      </x:c>
    </x:row>
    <x:row r="6" ht="76" customHeight="1">
      <x:c r="A6" s="12" t="str">
        <x:v>A-02</x:v>
      </x:c>
      <x:c r="B6" s="12" t="str">
        <x:v>保留基线</x:v>
      </x:c>
      <x:c r="C6" s="12" t="str">
        <x:v>搜索/读取失败时观察所有出站请求</x:v>
      </x:c>
      <x:c r="D6" s="12" t="str">
        <x:v>跨模块</x:v>
      </x:c>
      <x:c r="E6" s="12" t="str">
        <x:v>按关联模块</x:v>
      </x:c>
      <x:c r="F6" s="12" t="str">
        <x:v>依据功能合同建立固定正/负样例</x:v>
      </x:c>
      <x:c r="G6" s="12" t="str">
        <x:v>不出现收费服务或未配置回退；模型请求仅发往已授权配置</x:v>
      </x:c>
      <x:c r="H6" s="24" t="str">
        <x:v>未执行</x:v>
      </x:c>
    </x:row>
    <x:row r="7" ht="76" customHeight="1">
      <x:c r="A7" s="12" t="str">
        <x:v>A-03</x:v>
      </x:c>
      <x:c r="B7" s="12" t="str">
        <x:v>保留基线</x:v>
      </x:c>
      <x:c r="C7" s="12" t="str">
        <x:v>同一来源以两个适配器登记</x:v>
      </x:c>
      <x:c r="D7" s="12" t="str">
        <x:v>跨模块</x:v>
      </x:c>
      <x:c r="E7" s="12" t="str">
        <x:v>按关联模块</x:v>
      </x:c>
      <x:c r="F7" s="12" t="str">
        <x:v>依据功能合同建立固定正/负样例</x:v>
      </x:c>
      <x:c r="G7" s="12" t="str">
        <x:v>不重复查询或重复计票；共享适用限流状态</x:v>
      </x:c>
      <x:c r="H7" s="24" t="str">
        <x:v>未执行</x:v>
      </x:c>
    </x:row>
    <x:row r="8" ht="76" customHeight="1">
      <x:c r="A8" s="12" t="str">
        <x:v>A-04</x:v>
      </x:c>
      <x:c r="B8" s="12" t="str">
        <x:v>保留基线</x:v>
      </x:c>
      <x:c r="C8" s="12" t="str">
        <x:v>一个搜索源超时，另一个成功</x:v>
      </x:c>
      <x:c r="D8" s="12" t="str">
        <x:v>跨模块</x:v>
      </x:c>
      <x:c r="E8" s="12" t="str">
        <x:v>按关联模块</x:v>
      </x:c>
      <x:c r="F8" s="12" t="str">
        <x:v>依据功能合同建立固定正/负样例</x:v>
      </x:c>
      <x:c r="G8" s="12" t="str">
        <x:v>返回成功来源结果与失败报告；不把部分结果当作完整结果</x:v>
      </x:c>
      <x:c r="H8" s="24" t="str">
        <x:v>未执行</x:v>
      </x:c>
    </x:row>
    <x:row r="9" ht="76" customHeight="1">
      <x:c r="A9" s="12" t="str">
        <x:v>A-05</x:v>
      </x:c>
      <x:c r="B9" s="12" t="str">
        <x:v>保留基线</x:v>
      </x:c>
      <x:c r="C9" s="12" t="str">
        <x:v>目标页面实际返回登录/挑战/404页面</x:v>
      </x:c>
      <x:c r="D9" s="12" t="str">
        <x:v>跨模块</x:v>
      </x:c>
      <x:c r="E9" s="12" t="str">
        <x:v>按关联模块</x:v>
      </x:c>
      <x:c r="F9" s="12" t="str">
        <x:v>依据功能合同建立固定正/负样例</x:v>
      </x:c>
      <x:c r="G9" s="12" t="str">
        <x:v>HTTP 状态与内容状态正确；不将提示页当目标正文</x:v>
      </x:c>
      <x:c r="H9" s="24" t="str">
        <x:v>未执行</x:v>
      </x:c>
    </x:row>
    <x:row r="10" ht="76" customHeight="1">
      <x:c r="A10" s="12" t="str">
        <x:v>A-06</x:v>
      </x:c>
      <x:c r="B10" s="12" t="str">
        <x:v>保留基线</x:v>
      </x:c>
      <x:c r="C10" s="12" t="str">
        <x:v>静态与JS延迟页面</x:v>
      </x:c>
      <x:c r="D10" s="12" t="str">
        <x:v>跨模块</x:v>
      </x:c>
      <x:c r="E10" s="12" t="str">
        <x:v>按关联模块</x:v>
      </x:c>
      <x:c r="F10" s="12" t="str">
        <x:v>依据功能合同建立固定正/负样例</x:v>
      </x:c>
      <x:c r="G10" s="12" t="str">
        <x:v>静态页不无故启动浏览器；动态读取在预算内获得正文或明确失败</x:v>
      </x:c>
      <x:c r="H10" s="24" t="str">
        <x:v>未执行</x:v>
      </x:c>
    </x:row>
    <x:row r="11" ht="76" customHeight="1">
      <x:c r="A11" s="12" t="str">
        <x:v>A-07</x:v>
      </x:c>
      <x:c r="B11" s="12" t="str">
        <x:v>保留基线</x:v>
      </x:c>
      <x:c r="C11" s="12" t="str">
        <x:v>指定10个URL批量读取</x:v>
      </x:c>
      <x:c r="D11" s="12" t="str">
        <x:v>跨模块</x:v>
      </x:c>
      <x:c r="E11" s="12" t="str">
        <x:v>按关联模块</x:v>
      </x:c>
      <x:c r="F11" s="12" t="str">
        <x:v>依据功能合同建立固定正/负样例</x:v>
      </x:c>
      <x:c r="G11" s="12" t="str">
        <x:v>不扩展到页面内其他URL；逐项状态和结果可查</x:v>
      </x:c>
      <x:c r="H11" s="24" t="str">
        <x:v>未执行</x:v>
      </x:c>
    </x:row>
    <x:row r="12" ht="76" customHeight="1">
      <x:c r="A12" s="12" t="str">
        <x:v>A-08</x:v>
      </x:c>
      <x:c r="B12" s="12" t="str">
        <x:v>保留基线</x:v>
      </x:c>
      <x:c r="C12" s="12" t="str">
        <x:v>含循环、分页陷阱和跨域链接的测试站</x:v>
      </x:c>
      <x:c r="D12" s="12" t="str">
        <x:v>跨模块</x:v>
      </x:c>
      <x:c r="E12" s="12" t="str">
        <x:v>按关联模块</x:v>
      </x:c>
      <x:c r="F12" s="12" t="str">
        <x:v>依据功能合同建立固定正/负样例</x:v>
      </x:c>
      <x:c r="G12" s="12" t="str">
        <x:v>不突破scope和原子预算；停止原因明确；符合robots策略</x:v>
      </x:c>
      <x:c r="H12" s="24" t="str">
        <x:v>未执行</x:v>
      </x:c>
    </x:row>
    <x:row r="13" ht="76" customHeight="1">
      <x:c r="A13" s="12" t="str">
        <x:v>A-09</x:v>
      </x:c>
      <x:c r="B13" s="12" t="str">
        <x:v>保留基线</x:v>
      </x:c>
      <x:c r="C13" s="12" t="str">
        <x:v>页面采集中强制退出工作进程</x:v>
      </x:c>
      <x:c r="D13" s="12" t="str">
        <x:v>跨模块</x:v>
      </x:c>
      <x:c r="E13" s="12" t="str">
        <x:v>按关联模块</x:v>
      </x:c>
      <x:c r="F13" s="12" t="str">
        <x:v>依据功能合同建立固定正/负样例</x:v>
      </x:c>
      <x:c r="G13" s="12" t="str">
        <x:v>重启恢复；不产生重复已提交产物；可能重请求有审计</x:v>
      </x:c>
      <x:c r="H13" s="24" t="str">
        <x:v>未执行</x:v>
      </x:c>
    </x:row>
    <x:row r="14" ht="76" customHeight="1">
      <x:c r="A14" s="12" t="str">
        <x:v>A-10</x:v>
      </x:c>
      <x:c r="B14" s="12" t="str">
        <x:v>保留基线</x:v>
      </x:c>
      <x:c r="C14" s="12" t="str">
        <x:v>暂停、恢复、取消任务</x:v>
      </x:c>
      <x:c r="D14" s="12" t="str">
        <x:v>跨模块</x:v>
      </x:c>
      <x:c r="E14" s="12" t="str">
        <x:v>按关联模块</x:v>
      </x:c>
      <x:c r="F14" s="12" t="str">
        <x:v>依据功能合同建立固定正/负样例</x:v>
      </x:c>
      <x:c r="G14" s="12" t="str">
        <x:v>状态转换正确；终态后无新派发；保留已完成内容</x:v>
      </x:c>
      <x:c r="H14" s="24" t="str">
        <x:v>未执行</x:v>
      </x:c>
    </x:row>
    <x:row r="15" ht="76" customHeight="1">
      <x:c r="A15" s="12" t="str">
        <x:v>A-11</x:v>
      </x:c>
      <x:c r="B15" s="12" t="str">
        <x:v>保留基线</x:v>
      </x:c>
      <x:c r="C15" s="12" t="str">
        <x:v>快照中给定中英混合quote</x:v>
      </x:c>
      <x:c r="D15" s="12" t="str">
        <x:v>跨模块</x:v>
      </x:c>
      <x:c r="E15" s="12" t="str">
        <x:v>按关联模块</x:v>
      </x:c>
      <x:c r="F15" s="12" t="str">
        <x:v>依据功能合同建立固定正/负样例</x:v>
      </x:c>
      <x:c r="G15" s="12" t="str">
        <x:v>100%的输出原文引文通过UTF-8边界与文本一致性校验，否则不发布该引文</x:v>
      </x:c>
      <x:c r="H15" s="24" t="str">
        <x:v>未执行</x:v>
      </x:c>
    </x:row>
    <x:row r="16" ht="76" customHeight="1">
      <x:c r="A16" s="12" t="str">
        <x:v>A-12</x:v>
      </x:c>
      <x:c r="B16" s="12" t="str">
        <x:v>保留基线</x:v>
      </x:c>
      <x:c r="C16" s="12" t="str">
        <x:v>修改网页后读取旧证据</x:v>
      </x:c>
      <x:c r="D16" s="12" t="str">
        <x:v>跨模块</x:v>
      </x:c>
      <x:c r="E16" s="12" t="str">
        <x:v>按关联模块</x:v>
      </x:c>
      <x:c r="F16" s="12" t="str">
        <x:v>依据功能合同建立固定正/负样例</x:v>
      </x:c>
      <x:c r="G16" s="12" t="str">
        <x:v>旧引用仍指向旧快照；删除/过期后明确不可用，不悄悄替换</x:v>
      </x:c>
      <x:c r="H16" s="24" t="str">
        <x:v>未执行</x:v>
      </x:c>
    </x:row>
    <x:row r="17" ht="76" customHeight="1">
      <x:c r="A17" s="12" t="str">
        <x:v>A-13</x:v>
      </x:c>
      <x:c r="B17" s="12" t="str">
        <x:v>保留基线</x:v>
      </x:c>
      <x:c r="C17" s="12" t="str">
        <x:v>文档不包含某必填语义字段</x:v>
      </x:c>
      <x:c r="D17" s="12" t="str">
        <x:v>跨模块</x:v>
      </x:c>
      <x:c r="E17" s="12" t="str">
        <x:v>按关联模块</x:v>
      </x:c>
      <x:c r="F17" s="12" t="str">
        <x:v>依据功能合同建立固定正/负样例</x:v>
      </x:c>
      <x:c r="G17" s="12" t="str">
        <x:v>返回unknown/缺失说明；Schema要求与证据要求冲突时报告，不能造值</x:v>
      </x:c>
      <x:c r="H17" s="24" t="str">
        <x:v>未执行</x:v>
      </x:c>
    </x:row>
    <x:row r="18" ht="76" customHeight="1">
      <x:c r="A18" s="12" t="str">
        <x:v>A-14</x:v>
      </x:c>
      <x:c r="B18" s="12" t="str">
        <x:v>保留基线</x:v>
      </x:c>
      <x:c r="C18" s="12" t="str">
        <x:v>模型返回错误Schema或未知引用ID</x:v>
      </x:c>
      <x:c r="D18" s="12" t="str">
        <x:v>跨模块</x:v>
      </x:c>
      <x:c r="E18" s="12" t="str">
        <x:v>按关联模块</x:v>
      </x:c>
      <x:c r="F18" s="12" t="str">
        <x:v>依据功能合同建立固定正/负样例</x:v>
      </x:c>
      <x:c r="G18" s="12" t="str">
        <x:v>受限修复或失败；不发布未验证字段；已取证据保留</x:v>
      </x:c>
      <x:c r="H18" s="24" t="str">
        <x:v>未执行</x:v>
      </x:c>
    </x:row>
    <x:row r="19" ht="76" customHeight="1">
      <x:c r="A19" s="12" t="str">
        <x:v>A-15</x:v>
      </x:c>
      <x:c r="B19" s="12" t="str">
        <x:v>保留基线</x:v>
      </x:c>
      <x:c r="C19" s="12" t="str">
        <x:v>模型端点不支持视觉/嵌入/思考参数</x:v>
      </x:c>
      <x:c r="D19" s="12" t="str">
        <x:v>跨模块</x:v>
      </x:c>
      <x:c r="E19" s="12" t="str">
        <x:v>按关联模块</x:v>
      </x:c>
      <x:c r="F19" s="12" t="str">
        <x:v>依据功能合同建立固定正/负样例</x:v>
      </x:c>
      <x:c r="G19" s="12" t="str">
        <x:v>能力报错或显式已允许降级；不偷偷更换提供方</x:v>
      </x:c>
      <x:c r="H19" s="24" t="str">
        <x:v>未执行</x:v>
      </x:c>
    </x:row>
    <x:row r="20" ht="76" customHeight="1">
      <x:c r="A20" s="12" t="str">
        <x:v>A-16</x:v>
      </x:c>
      <x:c r="B20" s="12" t="str">
        <x:v>保留基线</x:v>
      </x:c>
      <x:c r="C20" s="12" t="str">
        <x:v>研究达到轮次、调用或时间预算</x:v>
      </x:c>
      <x:c r="D20" s="12" t="str">
        <x:v>跨模块</x:v>
      </x:c>
      <x:c r="E20" s="12" t="str">
        <x:v>按关联模块</x:v>
      </x:c>
      <x:c r="F20" s="12" t="str">
        <x:v>依据功能合同建立固定正/负样例</x:v>
      </x:c>
      <x:c r="G20" s="12" t="str">
        <x:v>停止并返回partial/原因和已有证据，不自加额度</x:v>
      </x:c>
      <x:c r="H20" s="24" t="str">
        <x:v>未执行</x:v>
      </x:c>
    </x:row>
    <x:row r="21" ht="76" customHeight="1">
      <x:c r="A21" s="12" t="str">
        <x:v>A-17</x:v>
      </x:c>
      <x:c r="B21" s="12" t="str">
        <x:v>保留基线</x:v>
      </x:c>
      <x:c r="C21" s="12" t="str">
        <x:v>提示注入要求外传密钥或访问内网</x:v>
      </x:c>
      <x:c r="D21" s="12" t="str">
        <x:v>跨模块</x:v>
      </x:c>
      <x:c r="E21" s="12" t="str">
        <x:v>按关联模块</x:v>
      </x:c>
      <x:c r="F21" s="12" t="str">
        <x:v>依据功能合同建立固定正/负样例</x:v>
      </x:c>
      <x:c r="G21" s="12" t="str">
        <x:v>工具及网络层阻止越权，不依赖模型自我拒绝</x:v>
      </x:c>
      <x:c r="H21" s="24" t="str">
        <x:v>未执行</x:v>
      </x:c>
    </x:row>
    <x:row r="22" ht="76" customHeight="1">
      <x:c r="A22" s="12" t="str">
        <x:v>A-18</x:v>
      </x:c>
      <x:c r="B22" s="12" t="str">
        <x:v>保留基线</x:v>
      </x:c>
      <x:c r="C22" s="12" t="str">
        <x:v>私网地址、DNS变化、重定向与浏览器子请求攻击样本</x:v>
      </x:c>
      <x:c r="D22" s="12" t="str">
        <x:v>跨模块</x:v>
      </x:c>
      <x:c r="E22" s="12" t="str">
        <x:v>按关联模块</x:v>
      </x:c>
      <x:c r="F22" s="12" t="str">
        <x:v>依据功能合同建立固定正/负样例</x:v>
      </x:c>
      <x:c r="G22" s="12" t="str">
        <x:v>所有已收录攻击样本被安全策略阻止；无法保证未测试攻击不存在</x:v>
      </x:c>
      <x:c r="H22" s="24" t="str">
        <x:v>未执行</x:v>
      </x:c>
    </x:row>
    <x:row r="23" ht="76" customHeight="1">
      <x:c r="A23" s="12" t="str">
        <x:v>A-19</x:v>
      </x:c>
      <x:c r="B23" s="12" t="str">
        <x:v>保留基线</x:v>
      </x:c>
      <x:c r="C23" s="12" t="str">
        <x:v>不同用户读取同URL的私有内容</x:v>
      </x:c>
      <x:c r="D23" s="12" t="str">
        <x:v>跨模块</x:v>
      </x:c>
      <x:c r="E23" s="12" t="str">
        <x:v>按关联模块</x:v>
      </x:c>
      <x:c r="F23" s="12" t="str">
        <x:v>依据功能合同建立固定正/负样例</x:v>
      </x:c>
      <x:c r="G23" s="12" t="str">
        <x:v>内容/缓存/向量/模型结果不跨授权泄漏</x:v>
      </x:c>
      <x:c r="H23" s="24" t="str">
        <x:v>未执行</x:v>
      </x:c>
    </x:row>
    <x:row r="24" ht="76" customHeight="1">
      <x:c r="A24" s="12" t="str">
        <x:v>A-20</x:v>
      </x:c>
      <x:c r="B24" s="12" t="str">
        <x:v>保留基线</x:v>
      </x:c>
      <x:c r="C24" s="12" t="str">
        <x:v>cache-only与全局offline</x:v>
      </x:c>
      <x:c r="D24" s="12" t="str">
        <x:v>跨模块</x:v>
      </x:c>
      <x:c r="E24" s="12" t="str">
        <x:v>按关联模块</x:v>
      </x:c>
      <x:c r="F24" s="12" t="str">
        <x:v>依据功能合同建立固定正/负样例</x:v>
      </x:c>
      <x:c r="G24" s="12" t="str">
        <x:v>前者不发采集请求；后者连远程模型请求也不发</x:v>
      </x:c>
      <x:c r="H24" s="24" t="str">
        <x:v>未执行</x:v>
      </x:c>
    </x:row>
    <x:row r="25" ht="76" customHeight="1">
      <x:c r="A25" s="12" t="str">
        <x:v>A-21</x:v>
      </x:c>
      <x:c r="B25" s="12" t="str">
        <x:v>保留基线</x:v>
      </x:c>
      <x:c r="C25" s="12" t="str">
        <x:v>模型端点不可用或配置移除</x:v>
      </x:c>
      <x:c r="D25" s="12" t="str">
        <x:v>跨模块</x:v>
      </x:c>
      <x:c r="E25" s="12" t="str">
        <x:v>按关联模块</x:v>
      </x:c>
      <x:c r="F25" s="12" t="str">
        <x:v>依据功能合同建立固定正/负样例</x:v>
      </x:c>
      <x:c r="G25" s="12" t="str">
        <x:v>普通搜索/读取/爬虫/全文检索仍可用；模型功能明确失败</x:v>
      </x:c>
      <x:c r="H25" s="24" t="str">
        <x:v>未执行</x:v>
      </x:c>
    </x:row>
    <x:row r="26" ht="76" customHeight="1">
      <x:c r="A26" s="12" t="str">
        <x:v>A-22</x:v>
      </x:c>
      <x:c r="B26" s="12" t="str">
        <x:v>保留基线</x:v>
      </x:c>
      <x:c r="C26" s="12" t="str">
        <x:v>同一任务输入与幂等键重复提交</x:v>
      </x:c>
      <x:c r="D26" s="12" t="str">
        <x:v>跨模块</x:v>
      </x:c>
      <x:c r="E26" s="12" t="str">
        <x:v>按关联模块</x:v>
      </x:c>
      <x:c r="F26" s="12" t="str">
        <x:v>依据功能合同建立固定正/负样例</x:v>
      </x:c>
      <x:c r="G26" s="12" t="str">
        <x:v>复用或拒绝重复job，参数不同则冲突，不能默默改旧任务</x:v>
      </x:c>
      <x:c r="H26" s="24" t="str">
        <x:v>未执行</x:v>
      </x:c>
    </x:row>
    <x:row r="27" ht="76" customHeight="1">
      <x:c r="A27" s="12" t="str">
        <x:v>B-01</x:v>
      </x:c>
      <x:c r="B27" s="12" t="str">
        <x:v>新增专项</x:v>
      </x:c>
      <x:c r="C27" s="12" t="str">
        <x:v>统一查询语法与注入</x:v>
      </x:c>
      <x:c r="D27" s="12" t="str">
        <x:v>QRY-01</x:v>
      </x:c>
      <x:c r="E27" s="12" t="str">
        <x:v>M1</x:v>
      </x:c>
      <x:c r="F27" s="12" t="str">
        <x:v>同语义的字符串/AST，含引号括号和恶意SQL片段</x:v>
      </x:c>
      <x:c r="G27" s="12" t="str">
        <x:v>解析得到相同语义或明确拒绝；不执行注入；深度/节点数量受限</x:v>
      </x:c>
      <x:c r="H27" s="24" t="str">
        <x:v>未执行</x:v>
      </x:c>
    </x:row>
    <x:row r="28" ht="76" customHeight="1">
      <x:c r="A28" s="12" t="str">
        <x:v>B-02</x:v>
      </x:c>
      <x:c r="B28" s="12" t="str">
        <x:v>新增专项</x:v>
      </x:c>
      <x:c r="C28" s="12" t="str">
        <x:v>精确符号保护</x:v>
      </x:c>
      <x:c r="D28" s="12" t="str">
        <x:v>QRY-02</x:v>
      </x:c>
      <x:c r="E28" s="12" t="str">
        <x:v>M1</x:v>
      </x:c>
      <x:c r="F28" s="12" t="str">
        <x:v>C++、C#、std::expected、v1.2.3、不同HTTP错误码</x:v>
      </x:c>
      <x:c r="G28" s="12" t="str">
        <x:v>不能被相互替换；精确条件返回完整字面核验范围</x:v>
      </x:c>
      <x:c r="H28" s="24" t="str">
        <x:v>未执行</x:v>
      </x:c>
    </x:row>
    <x:row r="29" ht="76" customHeight="1">
      <x:c r="A29" s="12" t="str">
        <x:v>B-03</x:v>
      </x:c>
      <x:c r="B29" s="12" t="str">
        <x:v>新增专项</x:v>
      </x:c>
      <x:c r="C29" s="12" t="str">
        <x:v>中文简繁原文映射</x:v>
      </x:c>
      <x:c r="D29" s="12" t="str">
        <x:v>QRY-03 EVID-01</x:v>
      </x:c>
      <x:c r="E29" s="12" t="str">
        <x:v>M4</x:v>
      </x:c>
      <x:c r="F29" s="12" t="str">
        <x:v>简繁转换改变长度、含emoji/组合字符和代码的文档</x:v>
      </x:c>
      <x:c r="G29" s="12" t="str">
        <x:v>检索变体可命中；quote仍准确切自原文UTF-8边界</x:v>
      </x:c>
      <x:c r="H29" s="24" t="str">
        <x:v>未执行</x:v>
      </x:c>
    </x:row>
    <x:row r="30" ht="76" customHeight="1">
      <x:c r="A30" s="12" t="str">
        <x:v>B-04</x:v>
      </x:c>
      <x:c r="B30" s="12" t="str">
        <x:v>新增专项</x:v>
      </x:c>
      <x:c r="C30" s="12" t="str">
        <x:v>硬条件不支持</x:v>
      </x:c>
      <x:c r="D30" s="12" t="str">
        <x:v>SRC-03 QRY-04</x:v>
      </x:c>
      <x:c r="E30" s="12" t="str">
        <x:v>M3</x:v>
      </x:c>
      <x:c r="F30" s="12" t="str">
        <x:v>上游忽略site/filetype/日期条件</x:v>
      </x:c>
      <x:c r="G30" s="12" t="str">
        <x:v>native状态不冒充verified；strict未知项不进满足列表</x:v>
      </x:c>
      <x:c r="H30" s="24" t="str">
        <x:v>未执行</x:v>
      </x:c>
    </x:row>
    <x:row r="31" ht="76" customHeight="1">
      <x:c r="A31" s="12" t="str">
        <x:v>B-05</x:v>
      </x:c>
      <x:c r="B31" s="12" t="str">
        <x:v>新增专项</x:v>
      </x:c>
      <x:c r="C31" s="12" t="str">
        <x:v>否定条件证据不足</x:v>
      </x:c>
      <x:c r="D31" s="12" t="str">
        <x:v>QRY-04</x:v>
      </x:c>
      <x:c r="E31" s="12" t="str">
        <x:v>M3</x:v>
      </x:c>
      <x:c r="F31" s="12" t="str">
        <x:v>只取得摘要或截断正文，却要求不包含某词</x:v>
      </x:c>
      <x:c r="G31" s="12" t="str">
        <x:v>返回unknown而非因未看到词就判满足</x:v>
      </x:c>
      <x:c r="H31" s="24" t="str">
        <x:v>未执行</x:v>
      </x:c>
    </x:row>
    <x:row r="32" ht="76" customHeight="1">
      <x:c r="A32" s="12" t="str">
        <x:v>B-06</x:v>
      </x:c>
      <x:c r="B32" s="12" t="str">
        <x:v>新增专项</x:v>
      </x:c>
      <x:c r="C32" s="12" t="str">
        <x:v>筛选后补候选</x:v>
      </x:c>
      <x:c r="D32" s="12" t="str">
        <x:v>QRY-04 SEARCH-05</x:v>
      </x:c>
      <x:c r="E32" s="12" t="str">
        <x:v>M3</x:v>
      </x:c>
      <x:c r="F32" s="12" t="str">
        <x:v>前20条仅2条通过，但后续有合格结果</x:v>
      </x:c>
      <x:c r="G32" s="12" t="str">
        <x:v>预算内补取；不足则报告当前核验范围，不能断言仅2个结果</x:v>
      </x:c>
      <x:c r="H32" s="24" t="str">
        <x:v>未执行</x:v>
      </x:c>
    </x:row>
    <x:row r="33" ht="76" customHeight="1">
      <x:c r="A33" s="12" t="str">
        <x:v>B-07</x:v>
      </x:c>
      <x:c r="B33" s="12" t="str">
        <x:v>新增专项</x:v>
      </x:c>
      <x:c r="C33" s="12" t="str">
        <x:v>模型改写保留硬条件</x:v>
      </x:c>
      <x:c r="D33" s="12" t="str">
        <x:v>SEARCH-02</x:v>
      </x:c>
      <x:c r="E33" s="12" t="str">
        <x:v>M4</x:v>
      </x:c>
      <x:c r="F33" s="12" t="str">
        <x:v>模型建议移除离线/Linux/版本要求以增加结果</x:v>
      </x:c>
      <x:c r="G33" s="12" t="str">
        <x:v>程序拒绝放宽；派生查询仍绑定原硬条件</x:v>
      </x:c>
      <x:c r="H33" s="24" t="str">
        <x:v>未执行</x:v>
      </x:c>
    </x:row>
    <x:row r="34" ht="76" customHeight="1">
      <x:c r="A34" s="12" t="str">
        <x:v>B-08</x:v>
      </x:c>
      <x:c r="B34" s="12" t="str">
        <x:v>新增专项</x:v>
      </x:c>
      <x:c r="C34" s="12" t="str">
        <x:v>多来源重复计票</x:v>
      </x:c>
      <x:c r="D34" s="12" t="str">
        <x:v>SRC-01 SEARCH-03</x:v>
      </x:c>
      <x:c r="E34" s="12" t="str">
        <x:v>M1</x:v>
      </x:c>
      <x:c r="F34" s="12" t="str">
        <x:v>同一索引族经两个适配器返回同一页面</x:v>
      </x:c>
      <x:c r="G34" s="12" t="str">
        <x:v>分组控制贡献；未知独立性不自行拆分为独立索引</x:v>
      </x:c>
      <x:c r="H34" s="24" t="str">
        <x:v>未执行</x:v>
      </x:c>
    </x:row>
    <x:row r="35" ht="76" customHeight="1">
      <x:c r="A35" s="12" t="str">
        <x:v>B-09</x:v>
      </x:c>
      <x:c r="B35" s="12" t="str">
        <x:v>新增专项</x:v>
      </x:c>
      <x:c r="C35" s="12" t="str">
        <x:v>近重复与主题相关分离</x:v>
      </x:c>
      <x:c r="D35" s="12" t="str">
        <x:v>RANK-01 SEARCH-04</x:v>
      </x:c>
      <x:c r="E35" s="12" t="str">
        <x:v>M4</x:v>
      </x:c>
      <x:c r="F35" s="12" t="str">
        <x:v>转载、改写、同主题原创、不同版本混合</x:v>
      </x:c>
      <x:c r="G35" s="12" t="str">
        <x:v>转载折叠可撤回；相关原创不按重复删除；版本有标记</x:v>
      </x:c>
      <x:c r="H35" s="24" t="str">
        <x:v>未执行</x:v>
      </x:c>
    </x:row>
    <x:row r="36" ht="76" customHeight="1">
      <x:c r="A36" s="12" t="str">
        <x:v>B-10</x:v>
      </x:c>
      <x:c r="B36" s="12" t="str">
        <x:v>新增专项</x:v>
      </x:c>
      <x:c r="C36" s="12" t="str">
        <x:v>域名多样性边界</x:v>
      </x:c>
      <x:c r="D36" s="12" t="str">
        <x:v>RANK-01</x:v>
      </x:c>
      <x:c r="E36" s="12" t="str">
        <x:v>M3</x:v>
      </x:c>
      <x:c r="F36" s="12" t="str">
        <x:v>明确site限定和无site探索两种查询</x:v>
      </x:c>
      <x:c r="G36" s="12" t="str">
        <x:v>前者不跨网站；后者在候选允许时改善覆盖且不填无关结果</x:v>
      </x:c>
      <x:c r="H36" s="24" t="str">
        <x:v>未执行</x:v>
      </x:c>
    </x:row>
    <x:row r="37" ht="76" customHeight="1">
      <x:c r="A37" s="12" t="str">
        <x:v>B-11</x:v>
      </x:c>
      <x:c r="B37" s="12" t="str">
        <x:v>新增专项</x:v>
      </x:c>
      <x:c r="C37" s="12" t="str">
        <x:v>解释忠实性</x:v>
      </x:c>
      <x:c r="D37" s="12" t="str">
        <x:v>RANK-02</x:v>
      </x:c>
      <x:c r="E37" s="12" t="str">
        <x:v>M3</x:v>
      </x:c>
      <x:c r="F37" s="12" t="str">
        <x:v>实际排序因子与故意编造模型解释</x:v>
      </x:c>
      <x:c r="G37" s="12" t="str">
        <x:v>只显示执行日志中的原因和版本；不生成假理由</x:v>
      </x:c>
      <x:c r="H37" s="24" t="str">
        <x:v>未执行</x:v>
      </x:c>
    </x:row>
    <x:row r="38" ht="76" customHeight="1">
      <x:c r="A38" s="12" t="str">
        <x:v>B-12</x:v>
      </x:c>
      <x:c r="B38" s="12" t="str">
        <x:v>新增专项</x:v>
      </x:c>
      <x:c r="C38" s="12" t="str">
        <x:v>零结果诊断</x:v>
      </x:c>
      <x:c r="D38" s="12" t="str">
        <x:v>SEARCH-05</x:v>
      </x:c>
      <x:c r="E38" s="12" t="str">
        <x:v>M3</x:v>
      </x:c>
      <x:c r="F38" s="12" t="str">
        <x:v>源全失败/候选均不符/本地空/预算截止</x:v>
      </x:c>
      <x:c r="G38" s="12" t="str">
        <x:v>状态分别可辨；所有情况都不能等同全网不存在</x:v>
      </x:c>
      <x:c r="H38" s="24" t="str">
        <x:v>未执行</x:v>
      </x:c>
    </x:row>
    <x:row r="39" ht="76" customHeight="1">
      <x:c r="A39" s="12" t="str">
        <x:v>B-13</x:v>
      </x:c>
      <x:c r="B39" s="12" t="str">
        <x:v>新增专项</x:v>
      </x:c>
      <x:c r="C39" s="12" t="str">
        <x:v>分页稳定性</x:v>
      </x:c>
      <x:c r="D39" s="12" t="str">
        <x:v>SESSION-01</x:v>
      </x:c>
      <x:c r="E39" s="12" t="str">
        <x:v>M1</x:v>
      </x:c>
      <x:c r="F39" s="12" t="str">
        <x:v>翻页间加入高分结果或修改排序</x:v>
      </x:c>
      <x:c r="G39" s="12" t="str">
        <x:v>旧版本不悄悄重排；新结果为新版本；无跨页重复</x:v>
      </x:c>
      <x:c r="H39" s="24" t="str">
        <x:v>未执行</x:v>
      </x:c>
    </x:row>
    <x:row r="40" ht="76" customHeight="1">
      <x:c r="A40" s="12" t="str">
        <x:v>B-14</x:v>
      </x:c>
      <x:c r="B40" s="12" t="str">
        <x:v>新增专项</x:v>
      </x:c>
      <x:c r="C40" s="12" t="str">
        <x:v>SSE重播与背压</x:v>
      </x:c>
      <x:c r="D40" s="12" t="str">
        <x:v>SESSION-02</x:v>
      </x:c>
      <x:c r="E40" s="12" t="str">
        <x:v>M1</x:v>
      </x:c>
      <x:c r="F40" s="12" t="str">
        <x:v>断线重连、慢客户端、事件保留期过期</x:v>
      </x:c>
      <x:c r="G40" s="12" t="str">
        <x:v>按ID去重；过期提示重取；服务器有内存与排队上限</x:v>
      </x:c>
      <x:c r="H40" s="24" t="str">
        <x:v>未执行</x:v>
      </x:c>
    </x:row>
    <x:row r="41" ht="76" customHeight="1">
      <x:c r="A41" s="12" t="str">
        <x:v>B-15</x:v>
      </x:c>
      <x:c r="B41" s="12" t="str">
        <x:v>新增专项</x:v>
      </x:c>
      <x:c r="C41" s="12" t="str">
        <x:v>游标撤权与失效</x:v>
      </x:c>
      <x:c r="D41" s="12" t="str">
        <x:v>SESSION-01 AUTH-01</x:v>
      </x:c>
      <x:c r="E41" s="12" t="str">
        <x:v>M1</x:v>
      </x:c>
      <x:c r="F41" s="12" t="str">
        <x:v>游标绑定资料被撤权/删除/保留期到期</x:v>
      </x:c>
      <x:c r="G41" s="12" t="str">
        <x:v>重新鉴权；敏感结果和计数不可见；明确失效而非继续泄露</x:v>
      </x:c>
      <x:c r="H41" s="24" t="str">
        <x:v>未执行</x:v>
      </x:c>
    </x:row>
    <x:row r="42" ht="76" customHeight="1">
      <x:c r="A42" s="12" t="str">
        <x:v>B-16</x:v>
      </x:c>
      <x:c r="B42" s="12" t="str">
        <x:v>新增专项</x:v>
      </x:c>
      <x:c r="C42" s="12" t="str">
        <x:v>分面范围</x:v>
      </x:c>
      <x:c r="D42" s="12" t="str">
        <x:v>FACET-01</x:v>
      </x:c>
      <x:c r="E42" s="12" t="str">
        <x:v>M3</x:v>
      </x:c>
      <x:c r="F42" s="12" t="str">
        <x:v>只收集100候选但上游宣称大量总结果</x:v>
      </x:c>
      <x:c r="G42" s="12" t="str">
        <x:v>计数标当前候选；不显示成全网精确数量；未知值单列</x:v>
      </x:c>
      <x:c r="H42" s="24" t="str">
        <x:v>未执行</x:v>
      </x:c>
    </x:row>
    <x:row r="43" ht="76" customHeight="1">
      <x:c r="A43" s="12" t="str">
        <x:v>B-17</x:v>
      </x:c>
      <x:c r="B43" s="12" t="str">
        <x:v>新增专项</x:v>
      </x:c>
      <x:c r="C43" s="12" t="str">
        <x:v>隐私联想</x:v>
      </x:c>
      <x:c r="D43" s="12" t="str">
        <x:v>QRY-06 PREF-01</x:v>
      </x:c>
      <x:c r="E43" s="12" t="str">
        <x:v>M7</x:v>
      </x:c>
      <x:c r="F43" s="12" t="str">
        <x:v>输入未提交的私有项目名并关闭历史</x:v>
      </x:c>
      <x:c r="G43" s="12" t="str">
        <x:v>无自动外发和历史写入；他人补全不能看到该词</x:v>
      </x:c>
      <x:c r="H43" s="24" t="str">
        <x:v>未执行</x:v>
      </x:c>
    </x:row>
    <x:row r="44" ht="76" customHeight="1">
      <x:c r="A44" s="12" t="str">
        <x:v>B-18</x:v>
      </x:c>
      <x:c r="B44" s="12" t="str">
        <x:v>新增专项</x:v>
      </x:c>
      <x:c r="C44" s="12" t="str">
        <x:v>来源动态停用</x:v>
      </x:c>
      <x:c r="D44" s="12" t="str">
        <x:v>SRC-02 SRC-05</x:v>
      </x:c>
      <x:c r="E44" s="12" t="str">
        <x:v>M3</x:v>
      </x:c>
      <x:c r="F44" s="12" t="str">
        <x:v>运行任务时撤销免费审核或修改条款策略</x:v>
      </x:c>
      <x:c r="G44" s="12" t="str">
        <x:v>后续请求停止；缓存复用按新政策重新检查；无收费回退</x:v>
      </x:c>
      <x:c r="H44" s="24" t="str">
        <x:v>未执行</x:v>
      </x:c>
    </x:row>
    <x:row r="45" ht="76" customHeight="1">
      <x:c r="A45" s="12" t="str">
        <x:v>B-19</x:v>
      </x:c>
      <x:c r="B45" s="12" t="str">
        <x:v>新增专项</x:v>
      </x:c>
      <x:c r="C45" s="12" t="str">
        <x:v>浏览器出口旁路</x:v>
      </x:c>
      <x:c r="D45" s="12" t="str">
        <x:v>SEC-01 READ-02</x:v>
      </x:c>
      <x:c r="E45" s="12" t="str">
        <x:v>M2</x:v>
      </x:c>
      <x:c r="F45" s="12" t="str">
        <x:v>iframe、重定向、WebSocket、服务工作者和非代理直连</x:v>
      </x:c>
      <x:c r="G45" s="12" t="str">
        <x:v>隔离层阻断非法出口；CDP监控不是唯一网络安全边界</x:v>
      </x:c>
      <x:c r="H45" s="24" t="str">
        <x:v>未执行</x:v>
      </x:c>
    </x:row>
    <x:row r="46" ht="76" customHeight="1">
      <x:c r="A46" s="12" t="str">
        <x:v>B-20</x:v>
      </x:c>
      <x:c r="B46" s="12" t="str">
        <x:v>新增专项</x:v>
      </x:c>
      <x:c r="C46" s="12" t="str">
        <x:v>内容类型与压缩炸弹</x:v>
      </x:c>
      <x:c r="D46" s="12" t="str">
        <x:v>DOC-01 READ-01</x:v>
      </x:c>
      <x:c r="E46" s="12" t="str">
        <x:v>M2</x:v>
      </x:c>
      <x:c r="F46" s="12" t="str">
        <x:v>伪PDF/畸形ZIP/XML实体/超大解压内容</x:v>
      </x:c>
      <x:c r="G46" s="12" t="str">
        <x:v>按安全策略拒绝；解析进程受限；无宏与外链执行</x:v>
      </x:c>
      <x:c r="H46" s="24" t="str">
        <x:v>未执行</x:v>
      </x:c>
    </x:row>
    <x:row r="47" ht="76" customHeight="1">
      <x:c r="A47" s="12" t="str">
        <x:v>B-21</x:v>
      </x:c>
      <x:c r="B47" s="12" t="str">
        <x:v>新增专项</x:v>
      </x:c>
      <x:c r="C47" s="12" t="str">
        <x:v>索引增删改与可见水位</x:v>
      </x:c>
      <x:c r="D47" s="12" t="str">
        <x:v>INDEX-03</x:v>
      </x:c>
      <x:c r="E47" s="12" t="str">
        <x:v>M2</x:v>
      </x:c>
      <x:c r="F47" s="12" t="str">
        <x:v>抓取成功后FTS提交失败、删除、重建和重启</x:v>
      </x:c>
      <x:c r="G47" s="12" t="str">
        <x:v>状态区分；索引可重试不重抓；撤权立即阻断展示；重建可回滚</x:v>
      </x:c>
      <x:c r="H47" s="24" t="str">
        <x:v>未执行</x:v>
      </x:c>
    </x:row>
    <x:row r="48" ht="76" customHeight="1">
      <x:c r="A48" s="12" t="str">
        <x:v>B-22</x:v>
      </x:c>
      <x:c r="B48" s="12" t="str">
        <x:v>新增专项</x:v>
      </x:c>
      <x:c r="C48" s="12" t="str">
        <x:v>向量过滤与版本</x:v>
      </x:c>
      <x:c r="D48" s="12" t="str">
        <x:v>INDEX-02</x:v>
      </x:c>
      <x:c r="E48" s="12" t="str">
        <x:v>M4</x:v>
      </x:c>
      <x:c r="F48" s="12" t="str">
        <x:v>新嵌入维度、受限候选、删除向量、近邻漏召回</x:v>
      </x:c>
      <x:c r="G48" s="12" t="str">
        <x:v>禁止混维度；只返回授权项；报告近似性/不足；小集可精确比对</x:v>
      </x:c>
      <x:c r="H48" s="24" t="str">
        <x:v>未执行</x:v>
      </x:c>
    </x:row>
    <x:row r="49" ht="76" customHeight="1">
      <x:c r="A49" s="12" t="str">
        <x:v>B-23</x:v>
      </x:c>
      <x:c r="B49" s="12" t="str">
        <x:v>新增专项</x:v>
      </x:c>
      <x:c r="C49" s="12" t="str">
        <x:v>公开索引和摘要控制</x:v>
      </x:c>
      <x:c r="D49" s="12" t="str">
        <x:v>CRAWL-03</x:v>
      </x:c>
      <x:c r="E49" s="12" t="str">
        <x:v>M2</x:v>
      </x:c>
      <x:c r="F49" s="12" t="str">
        <x:v>robots许可但页面noindex/nosnippet及定向Google专属规则</x:v>
      </x:c>
      <x:c r="G49" s="12" t="str">
        <x:v>执行本产品明确策略；不盲从非本爬虫专属规则；撤索引不靠轮到重排</x:v>
      </x:c>
      <x:c r="H49" s="24" t="str">
        <x:v>未执行</x:v>
      </x:c>
    </x:row>
    <x:row r="50" ht="76" customHeight="1">
      <x:c r="A50" s="12" t="str">
        <x:v>B-24</x:v>
      </x:c>
      <x:c r="B50" s="12" t="str">
        <x:v>新增专项</x:v>
      </x:c>
      <x:c r="C50" s="12" t="str">
        <x:v>共享请求取消</x:v>
      </x:c>
      <x:c r="D50" s="12" t="str">
        <x:v>CACHE-01</x:v>
      </x:c>
      <x:c r="E50" s="12" t="str">
        <x:v>M2</x:v>
      </x:c>
      <x:c r="F50" s="12" t="str">
        <x:v>同权限两任务共享请求，取消其中之一</x:v>
      </x:c>
      <x:c r="G50" s="12" t="str">
        <x:v>不错误取消另一任务；未共享权限不得合并；预算归属可追踪</x:v>
      </x:c>
      <x:c r="H50" s="24" t="str">
        <x:v>未执行</x:v>
      </x:c>
    </x:row>
    <x:row r="51" ht="76" customHeight="1">
      <x:c r="A51" s="12" t="str">
        <x:v>B-25</x:v>
      </x:c>
      <x:c r="B51" s="12" t="str">
        <x:v>新增专项</x:v>
      </x:c>
      <x:c r="C51" s="12" t="str">
        <x:v>模型能力差异</x:v>
      </x:c>
      <x:c r="D51" s="12" t="str">
        <x:v>MODEL-01</x:v>
      </x:c>
      <x:c r="E51" s="12" t="str">
        <x:v>M4</x:v>
      </x:c>
      <x:c r="F51" s="12" t="str">
        <x:v>聊天端点不支持向量/视觉/思考参数</x:v>
      </x:c>
      <x:c r="G51" s="12" t="str">
        <x:v>明确能力错误或获准降级；不假装已使用所需能力</x:v>
      </x:c>
      <x:c r="H51" s="24" t="str">
        <x:v>未执行</x:v>
      </x:c>
    </x:row>
    <x:row r="52" ht="76" customHeight="1">
      <x:c r="A52" s="12" t="str">
        <x:v>B-26</x:v>
      </x:c>
      <x:c r="B52" s="12" t="str">
        <x:v>新增专项</x:v>
      </x:c>
      <x:c r="C52" s="12" t="str">
        <x:v>模型注入与出站</x:v>
      </x:c>
      <x:c r="D52" s="12" t="str">
        <x:v>MODEL-02 AUTH-01</x:v>
      </x:c>
      <x:c r="E52" s="12" t="str">
        <x:v>M4</x:v>
      </x:c>
      <x:c r="F52" s="12" t="str">
        <x:v>页面要求把密钥或私人集合发到新网址</x:v>
      </x:c>
      <x:c r="G52" s="12" t="str">
        <x:v>模型输出不能扩大白名单；执行层拒绝；密钥不进入提示</x:v>
      </x:c>
      <x:c r="H52" s="24" t="str">
        <x:v>未执行</x:v>
      </x:c>
    </x:row>
    <x:row r="53" ht="76" customHeight="1">
      <x:c r="A53" s="12" t="str">
        <x:v>B-27</x:v>
      </x:c>
      <x:c r="B53" s="12" t="str">
        <x:v>新增专项</x:v>
      </x:c>
      <x:c r="C53" s="12" t="str">
        <x:v>证据与字段冲突</x:v>
      </x:c>
      <x:c r="D53" s="12" t="str">
        <x:v>EXTRACT-01 ANSWER-01</x:v>
      </x:c>
      <x:c r="E53" s="12" t="str">
        <x:v>M4</x:v>
      </x:c>
      <x:c r="F53" s="12" t="str">
        <x:v>来源互相冲突、未知字段、伪造evidence_id</x:v>
      </x:c>
      <x:c r="G53" s="12" t="str">
        <x:v>原文定位与语义核验分别进行；矛盾/未知不隐藏</x:v>
      </x:c>
      <x:c r="H53" s="24" t="str">
        <x:v>未执行</x:v>
      </x:c>
    </x:row>
    <x:row r="54" ht="76" customHeight="1">
      <x:c r="A54" s="12" t="str">
        <x:v>B-28</x:v>
      </x:c>
      <x:c r="B54" s="12" t="str">
        <x:v>新增专项</x:v>
      </x:c>
      <x:c r="C54" s="12" t="str">
        <x:v>研究预算与故障</x:v>
      </x:c>
      <x:c r="D54" s="12" t="str">
        <x:v>RESEARCH-01 JOB-01</x:v>
      </x:c>
      <x:c r="E54" s="12" t="str">
        <x:v>M4</x:v>
      </x:c>
      <x:c r="F54" s="12" t="str">
        <x:v>重复补搜、模型超时、用户取消、重启恢复</x:v>
      </x:c>
      <x:c r="G54" s="12" t="str">
        <x:v>有界停止；已得证据保留；旧租约无效；不自行加额度</x:v>
      </x:c>
      <x:c r="H54" s="24" t="str">
        <x:v>未执行</x:v>
      </x:c>
    </x:row>
    <x:row r="55" ht="76" customHeight="1">
      <x:c r="A55" s="12" t="str">
        <x:v>B-29</x:v>
      </x:c>
      <x:c r="B55" s="12" t="str">
        <x:v>新增专项</x:v>
      </x:c>
      <x:c r="C55" s="12" t="str">
        <x:v>代码版本和行号</x:v>
      </x:c>
      <x:c r="D55" s="12" t="str">
        <x:v>CODE-01</x:v>
      </x:c>
      <x:c r="E55" s="12" t="str">
        <x:v>M5</x:v>
      </x:c>
      <x:c r="F55" s="12" t="str">
        <x:v>相同路径不同commit/文件有恶意构建脚本</x:v>
      </x:c>
      <x:c r="G55" s="12" t="str">
        <x:v>行号绑定commit和blob；检索不执行项目脚本</x:v>
      </x:c>
      <x:c r="H55" s="24" t="str">
        <x:v>未执行</x:v>
      </x:c>
    </x:row>
    <x:row r="56" ht="76" customHeight="1">
      <x:c r="A56" s="12" t="str">
        <x:v>B-30</x:v>
      </x:c>
      <x:c r="B56" s="12" t="str">
        <x:v>新增专项</x:v>
      </x:c>
      <x:c r="C56" s="12" t="str">
        <x:v>科研标识与全文边界</x:v>
      </x:c>
      <x:c r="D56" s="12" t="str">
        <x:v>SCHOLAR-01</x:v>
      </x:c>
      <x:c r="E56" s="12" t="str">
        <x:v>M5</x:v>
      </x:c>
      <x:c r="F56" s="12" t="str">
        <x:v>同名论文、预印本/发表版、只能取得元数据</x:v>
      </x:c>
      <x:c r="G56" s="12" t="str">
        <x:v>实体与版本有证据；不把摘要当已读全文；未核验撤稿状态unknown</x:v>
      </x:c>
      <x:c r="H56" s="24" t="str">
        <x:v>未执行</x:v>
      </x:c>
    </x:row>
    <x:row r="57" ht="76" customHeight="1">
      <x:c r="A57" s="12" t="str">
        <x:v>B-31</x:v>
      </x:c>
      <x:c r="B57" s="12" t="str">
        <x:v>新增专项</x:v>
      </x:c>
      <x:c r="C57" s="12" t="str">
        <x:v>本地路径与连接器撤权</x:v>
      </x:c>
      <x:c r="D57" s="12" t="str">
        <x:v>PRIVATE-01</x:v>
      </x:c>
      <x:c r="E57" s="12" t="str">
        <x:v>M5</x:v>
      </x:c>
      <x:c r="F57" s="12" t="str">
        <x:v>符号链接跳出授权目录、连接器授权撤销</x:v>
      </x:c>
      <x:c r="G57" s="12" t="str">
        <x:v>拒绝越界；索引/片段/模型上下文同步阻断；无任意file://</x:v>
      </x:c>
      <x:c r="H57" s="24" t="str">
        <x:v>未执行</x:v>
      </x:c>
    </x:row>
    <x:row r="58" ht="76" customHeight="1">
      <x:c r="A58" s="12" t="str">
        <x:v>B-32</x:v>
      </x:c>
      <x:c r="B58" s="12" t="str">
        <x:v>新增专项</x:v>
      </x:c>
      <x:c r="C58" s="12" t="str">
        <x:v>反向图片覆盖与隐私</x:v>
      </x:c>
      <x:c r="D58" s="12" t="str">
        <x:v>IMAGE-02</x:v>
      </x:c>
      <x:c r="E58" s="12" t="str">
        <x:v>M6</x:v>
      </x:c>
      <x:c r="F58" s="12" t="str">
        <x:v>只有本地图库、用户私图和不可用外部源</x:v>
      </x:c>
      <x:c r="G58" s="12" t="str">
        <x:v>明确仅自有图库；不暗传私图；不声称全网以图搜图成功</x:v>
      </x:c>
      <x:c r="H58" s="24" t="str">
        <x:v>未执行</x:v>
      </x:c>
    </x:row>
    <x:row r="59" ht="76" customHeight="1">
      <x:c r="A59" s="12" t="str">
        <x:v>B-33</x:v>
      </x:c>
      <x:c r="B59" s="12" t="str">
        <x:v>新增专项</x:v>
      </x:c>
      <x:c r="C59" s="12" t="str">
        <x:v>图片权利与资产身份</x:v>
      </x:c>
      <x:c r="D59" s="12" t="str">
        <x:v>IMAGE-01</x:v>
      </x:c>
      <x:c r="E59" s="12" t="str">
        <x:v>M6</x:v>
      </x:c>
      <x:c r="F59" s="12" t="str">
        <x:v>原图/缩略图/落地页和无许可说明图片</x:v>
      </x:c>
      <x:c r="G59" s="12" t="str">
        <x:v>分别记录；权利unknown，不默认可再分发</x:v>
      </x:c>
      <x:c r="H59" s="24" t="str">
        <x:v>未执行</x:v>
      </x:c>
    </x:row>
    <x:row r="60" ht="76" customHeight="1">
      <x:c r="A60" s="12" t="str">
        <x:v>B-34</x:v>
      </x:c>
      <x:c r="B60" s="12" t="str">
        <x:v>新增专项</x:v>
      </x:c>
      <x:c r="C60" s="12" t="str">
        <x:v>音视频时间轴与采样</x:v>
      </x:c>
      <x:c r="D60" s="12" t="str">
        <x:v>AV-01 AV-02</x:v>
      </x:c>
      <x:c r="E60" s="12" t="str">
        <x:v>M6</x:v>
      </x:c>
      <x:c r="F60" s="12" t="str">
        <x:v>偏移字幕、机器转写、关键帧遗漏重要画面</x:v>
      </x:c>
      <x:c r="G60" s="12" t="str">
        <x:v>毫秒定位可核验；字幕来源可辨；有限采样如实标注</x:v>
      </x:c>
      <x:c r="H60" s="24" t="str">
        <x:v>未执行</x:v>
      </x:c>
    </x:row>
    <x:row r="61" ht="76" customHeight="1">
      <x:c r="A61" s="12" t="str">
        <x:v>B-35</x:v>
      </x:c>
      <x:c r="B61" s="12" t="str">
        <x:v>新增专项</x:v>
      </x:c>
      <x:c r="C61" s="12" t="str">
        <x:v>OCR证据与质量</x:v>
      </x:c>
      <x:c r="D61" s="12" t="str">
        <x:v>DOC-02 EVID-01</x:v>
      </x:c>
      <x:c r="E61" s="12" t="str">
        <x:v>M6</x:v>
      </x:c>
      <x:c r="F61" s="12" t="str">
        <x:v>文字层不足且识别出错的扫描页</x:v>
      </x:c>
      <x:c r="G61" s="12" t="str">
        <x:v>按需OCR；保留页/区域；一致性校验不冒充识别正确率</x:v>
      </x:c>
      <x:c r="H61" s="24" t="str">
        <x:v>未执行</x:v>
      </x:c>
    </x:row>
    <x:row r="62" ht="76" customHeight="1">
      <x:c r="A62" s="12" t="str">
        <x:v>B-36</x:v>
      </x:c>
      <x:c r="B62" s="12" t="str">
        <x:v>新增专项</x:v>
      </x:c>
      <x:c r="C62" s="12" t="str">
        <x:v>订阅失败与时区</x:v>
      </x:c>
      <x:c r="D62" s="12" t="str">
        <x:v>WATCH-01</x:v>
      </x:c>
      <x:c r="E62" s="12" t="str">
        <x:v>M7</x:v>
      </x:c>
      <x:c r="F62" s="12" t="str">
        <x:v>源失败、停机跨时区变化、同一新增反复发现</x:v>
      </x:c>
      <x:c r="G62" s="12" t="str">
        <x:v>失败不推进水位；补跑有上限；同一事件去重；可暂停删除</x:v>
      </x:c>
      <x:c r="H62" s="24" t="str">
        <x:v>未执行</x:v>
      </x:c>
    </x:row>
    <x:row r="63" ht="76" customHeight="1">
      <x:c r="A63" s="12" t="str">
        <x:v>B-37</x:v>
      </x:c>
      <x:c r="B63" s="12" t="str">
        <x:v>新增专项</x:v>
      </x:c>
      <x:c r="C63" s="12" t="str">
        <x:v>导出与Webhook风险</x:v>
      </x:c>
      <x:c r="D63" s="12" t="str">
        <x:v>EXPORT-01 WEBHOOK-01</x:v>
      </x:c>
      <x:c r="E63" s="12" t="str">
        <x:v>M7</x:v>
      </x:c>
      <x:c r="F63" s="12" t="str">
        <x:v>CSV含公式、目标重定向内网、导出中撤权</x:v>
      </x:c>
      <x:c r="G63" s="12" t="str">
        <x:v>公式注入防护；出口校验；逐项权限检查；无密钥原文外泄</x:v>
      </x:c>
      <x:c r="H63" s="24" t="str">
        <x:v>未执行</x:v>
      </x:c>
    </x:row>
    <x:row r="64" ht="76" customHeight="1">
      <x:c r="A64" s="12" t="str">
        <x:v>B-38</x:v>
      </x:c>
      <x:c r="B64" s="12" t="str">
        <x:v>新增专项</x:v>
      </x:c>
      <x:c r="C64" s="12" t="str">
        <x:v>备份恢复与删除日志</x:v>
      </x:c>
      <x:c r="D64" s="12" t="str">
        <x:v>OPS-02</x:v>
      </x:c>
      <x:c r="E64" s="12" t="str">
        <x:v>M8</x:v>
      </x:c>
      <x:c r="F64" s="12" t="str">
        <x:v>恢复删除前备份、丢失向量文件、DB正在WAL写入</x:v>
      </x:c>
      <x:c r="G64" s="12" t="str">
        <x:v>一致备份；重放tombstone；索引重建；不复活被删除内容</x:v>
      </x:c>
      <x:c r="H64" s="24" t="str">
        <x:v>未执行</x:v>
      </x:c>
    </x:row>
    <x:row r="65" ht="76" customHeight="1">
      <x:c r="A65" s="12" t="str">
        <x:v>B-39</x:v>
      </x:c>
      <x:c r="B65" s="12" t="str">
        <x:v>新增专项</x:v>
      </x:c>
      <x:c r="C65" s="12" t="str">
        <x:v>多节点租约与限流</x:v>
      </x:c>
      <x:c r="D65" s="12" t="str">
        <x:v>SCALE-01 JOB-01</x:v>
      </x:c>
      <x:c r="E65" s="12" t="str">
        <x:v>M8</x:v>
      </x:c>
      <x:c r="F65" s="12" t="str">
        <x:v>网络分区双执行、worker租约过期、同源跨节点请求</x:v>
      </x:c>
      <x:c r="G65" s="12" t="str">
        <x:v>旧fence不能提交；配额全局生效；终态不新增派发</x:v>
      </x:c>
      <x:c r="H65" s="24" t="str">
        <x:v>未执行</x:v>
      </x:c>
    </x:row>
    <x:row r="66" ht="76" customHeight="1">
      <x:c r="A66" s="12" t="str">
        <x:v>B-40</x:v>
      </x:c>
      <x:c r="B66" s="12" t="str">
        <x:v>新增专项</x:v>
      </x:c>
      <x:c r="C66" s="12" t="str">
        <x:v>完整能力发布检查</x:v>
      </x:c>
      <x:c r="D66" s="12" t="str">
        <x:v>RELEASE-01 API-01 UI-02 QA-03</x:v>
      </x:c>
      <x:c r="E66" s="12" t="str">
        <x:v>M8</x:v>
      </x:c>
      <x:c r="F66" s="12" t="str">
        <x:v>干净Linux/Windows环境、未配置嵌入/视觉/ASR</x:v>
      </x:c>
      <x:c r="G66" s="12" t="str">
        <x:v>能力目录真实；基础功能可用；缺模型能力如实报告；无参考产品或付费隐藏依赖</x:v>
      </x:c>
      <x:c r="H66" s="24" t="str">
        <x:v>未执行</x:v>
      </x:c>
    </x:row>
    <x:row r="67" ht="76" customHeight="1">
      <x:c r="A67" s="12" t="str">
        <x:v>FT-001</x:v>
      </x:c>
      <x:c r="B67" s="12" t="str">
        <x:v>功能合同</x:v>
      </x:c>
      <x:c r="C67" s="12" t="str">
        <x:v>需求边界、能力目录与许可证清单</x:v>
      </x:c>
      <x:c r="D67" s="12" t="str">
        <x:v>GOV-01</x:v>
      </x:c>
      <x:c r="E67" s="12" t="str">
        <x:v>M0</x:v>
      </x:c>
      <x:c r="F67" s="12" t="str">
        <x:v>既定需求、参考项目功能、候选基础组件</x:v>
      </x:c>
      <x:c r="G67" s="12" t="str">
        <x:v>无参考产品运行依赖；未实现能力不对外宣告；依赖记录包含版本/来源/许可/替换策略。 审核状态与实现状态独立；外部审查报告须能对应输入版本、reviewer_id与实际工具运行，不可凭角色提示词伪造。</x:v>
      </x:c>
      <x:c r="H67" s="24" t="str">
        <x:v>未执行</x:v>
      </x:c>
    </x:row>
    <x:row r="68" ht="76" customHeight="1">
      <x:c r="A68" s="12" t="str">
        <x:v>FT-002</x:v>
      </x:c>
      <x:c r="B68" s="12" t="str">
        <x:v>功能合同</x:v>
      </x:c>
      <x:c r="C68" s="12" t="str">
        <x:v>C++工程骨架与跨平台构建</x:v>
      </x:c>
      <x:c r="D68" s="12" t="str">
        <x:v>CORE-01</x:v>
      </x:c>
      <x:c r="E68" s="12" t="str">
        <x:v>M0</x:v>
      </x:c>
      <x:c r="F68" s="12" t="str">
        <x:v>编译目标、目录约定</x:v>
      </x:c>
      <x:c r="G68" s="12" t="str">
        <x:v>Linux与Windows构建通过；核心不依赖浏览器存在；纯逻辑测试无外网。</x:v>
      </x:c>
      <x:c r="H68" s="24" t="str">
        <x:v>未执行</x:v>
      </x:c>
    </x:row>
    <x:row r="69" ht="76" customHeight="1">
      <x:c r="A69" s="12" t="str">
        <x:v>FT-003</x:v>
      </x:c>
      <x:c r="B69" s="12" t="str">
        <x:v>功能合同</x:v>
      </x:c>
      <x:c r="C69" s="12" t="str">
        <x:v>数据合同与错误/取消协议</x:v>
      </x:c>
      <x:c r="D69" s="12" t="str">
        <x:v>CONTRACT-01</x:v>
      </x:c>
      <x:c r="E69" s="12" t="str">
        <x:v>M0</x:v>
      </x:c>
      <x:c r="F69" s="12" t="str">
        <x:v>功能目录、状态语义</x:v>
      </x:c>
      <x:c r="G69" s="12" t="str">
        <x:v>合法/非法样例双向验证；字段未知、参数冲突、能力缺失有稳定错误；不把资源ID当授权。</x:v>
      </x:c>
      <x:c r="H69" s="24" t="str">
        <x:v>未执行</x:v>
      </x:c>
    </x:row>
    <x:row r="70" ht="76" customHeight="1">
      <x:c r="A70" s="12" t="str">
        <x:v>FT-004</x:v>
      </x:c>
      <x:c r="B70" s="12" t="str">
        <x:v>功能合同</x:v>
      </x:c>
      <x:c r="C70" s="12" t="str">
        <x:v>网络与执行隔离</x:v>
      </x:c>
      <x:c r="D70" s="12" t="str">
        <x:v>SEC-01</x:v>
      </x:c>
      <x:c r="E70" s="12" t="str">
        <x:v>M0</x:v>
      </x:c>
      <x:c r="F70" s="12" t="str">
        <x:v>目标URL、地址策略、授权模型配置</x:v>
      </x:c>
      <x:c r="G70" s="12" t="str">
        <x:v>IPv4/IPv6、重绑定、重定向、子资源、WebSocket/QUIC旁路样例被拒；模型内网白名单不开放给网页。</x:v>
      </x:c>
      <x:c r="H70" s="24" t="str">
        <x:v>未执行</x:v>
      </x:c>
    </x:row>
    <x:row r="71" ht="76" customHeight="1">
      <x:c r="A71" s="12" t="str">
        <x:v>FT-005</x:v>
      </x:c>
      <x:c r="B71" s="12" t="str">
        <x:v>功能合同</x:v>
      </x:c>
      <x:c r="C71" s="12" t="str">
        <x:v>持久任务、预算与恢复</x:v>
      </x:c>
      <x:c r="D71" s="12" t="str">
        <x:v>JOB-01</x:v>
      </x:c>
      <x:c r="E71" s="12" t="str">
        <x:v>M0</x:v>
      </x:c>
      <x:c r="F71" s="12" t="str">
        <x:v>任务请求、范围、预算、幂等键</x:v>
      </x:c>
      <x:c r="G71" s="12" t="str">
        <x:v>崩溃恢复不重复发布产物；旧租约不能提交；重試占预算；取消后无新派发；不承诺网络恰好一次。 旧epoch提交被拒；取消后无新派发；暂停/重启后预算账本可对账且失败不退成免费请求。</x:v>
      </x:c>
      <x:c r="H71" s="24" t="str">
        <x:v>未执行</x:v>
      </x:c>
    </x:row>
    <x:row r="72" ht="76" customHeight="1">
      <x:c r="A72" s="12" t="str">
        <x:v>FT-006</x:v>
      </x:c>
      <x:c r="B72" s="12" t="str">
        <x:v>功能合同</x:v>
      </x:c>
      <x:c r="C72" s="12" t="str">
        <x:v>内容快照、结构块与证据基础存储</x:v>
      </x:c>
      <x:c r="D72" s="12" t="str">
        <x:v>STORE-01</x:v>
      </x:c>
      <x:c r="E72" s="12" t="str">
        <x:v>M0</x:v>
      </x:c>
      <x:c r="F72" s="12" t="str">
        <x:v>获取产物、正文、权限与保留期</x:v>
      </x:c>
      <x:c r="G72" s="12" t="str">
        <x:v>同URL更新不覆盖旧快照；Unicode字节定位一致；未提交blob不进入结果；无跨用户去重侧信道。 并发抓取遇磁盘满应回压而不是无限重试；GC与提交竞争无丢失已引用blob；拒绝超额后账本可恢复。</x:v>
      </x:c>
      <x:c r="H72" s="24" t="str">
        <x:v>未执行</x:v>
      </x:c>
    </x:row>
    <x:row r="73" ht="76" customHeight="1">
      <x:c r="A73" s="12" t="str">
        <x:v>FT-007</x:v>
      </x:c>
      <x:c r="B73" s="12" t="str">
        <x:v>功能合同</x:v>
      </x:c>
      <x:c r="C73" s="12" t="str">
        <x:v>认证、授权、私有内容与删除策略</x:v>
      </x:c>
      <x:c r="D73" s="12" t="str">
        <x:v>AUTH-01</x:v>
      </x:c>
      <x:c r="E73" s="12" t="str">
        <x:v>M0</x:v>
      </x:c>
      <x:c r="F73" s="12" t="str">
        <x:v>用户/调用方、集合ACL、撤权与删除请求</x:v>
      </x:c>
      <x:c r="G73" s="12" t="str">
        <x:v>撤权后旧游标/证据/聚合计数均不可泄露；删除状态可追踪；历史备份恢复也重放删除日志。 撤销在本系统新发布入口同步生效；恢复时无法确认最新撤销水位则保持隔离。</x:v>
      </x:c>
      <x:c r="H73" s="24" t="str">
        <x:v>未执行</x:v>
      </x:c>
    </x:row>
    <x:row r="74" ht="76" customHeight="1">
      <x:c r="A74" s="12" t="str">
        <x:v>FT-008</x:v>
      </x:c>
      <x:c r="B74" s="12" t="str">
        <x:v>功能合同</x:v>
      </x:c>
      <x:c r="C74" s="12" t="str">
        <x:v>固定样本、模拟来源与回放测试底座</x:v>
      </x:c>
      <x:c r="D74" s="12" t="str">
        <x:v>QA-01</x:v>
      </x:c>
      <x:c r="E74" s="12" t="str">
        <x:v>M0</x:v>
      </x:c>
      <x:c r="F74" s="12" t="str">
        <x:v>自建样本站、录制脱敏响应、人工标注</x:v>
      </x:c>
      <x:c r="G74" s="12" t="str">
        <x:v>测试不依赖实时外网才可通过；测试集版本冻结；真实用户数据不进入公共fixture。</x:v>
      </x:c>
      <x:c r="H74" s="24" t="str">
        <x:v>未执行</x:v>
      </x:c>
    </x:row>
    <x:row r="75" ht="76" customHeight="1">
      <x:c r="A75" s="12" t="str">
        <x:v>FT-009</x:v>
      </x:c>
      <x:c r="B75" s="12" t="str">
        <x:v>功能合同</x:v>
      </x:c>
      <x:c r="C75" s="12" t="str">
        <x:v>免费入口审核与来源注册</x:v>
      </x:c>
      <x:c r="D75" s="12" t="str">
        <x:v>SRC-01</x:v>
      </x:c>
      <x:c r="E75" s="12" t="str">
        <x:v>M1</x:v>
      </x:c>
      <x:c r="F75" s="12" t="str">
        <x:v>来源服务、底层索引、能力、入口、使用条件</x:v>
      </x:c>
      <x:c r="G75" s="12" t="str">
        <x:v>免费状态与可用状态分开；条款变更立即停用；没有付费备用路径。</x:v>
      </x:c>
      <x:c r="H75" s="24" t="str">
        <x:v>未执行</x:v>
      </x:c>
    </x:row>
    <x:row r="76" ht="76" customHeight="1">
      <x:c r="A76" s="12" t="str">
        <x:v>FT-010</x:v>
      </x:c>
      <x:c r="B76" s="12" t="str">
        <x:v>功能合同</x:v>
      </x:c>
      <x:c r="C76" s="12" t="str">
        <x:v>健康检查、限流、退避与共享配额</x:v>
      </x:c>
      <x:c r="D76" s="12" t="str">
        <x:v>SRC-02</x:v>
      </x:c>
      <x:c r="E76" s="12" t="str">
        <x:v>M1</x:v>
      </x:c>
      <x:c r="F76" s="12" t="str">
        <x:v>请求结果、Retry-After、全局和同源策略</x:v>
      </x:c>
      <x:c r="G76" s="12" t="str">
        <x:v>两适配器不绕过同源限流；限流不会触发无限重试；源禁用即时阻止后续请求。</x:v>
      </x:c>
      <x:c r="H76" s="24" t="str">
        <x:v>未执行</x:v>
      </x:c>
    </x:row>
    <x:row r="77" ht="76" customHeight="1">
      <x:c r="A77" s="12" t="str">
        <x:v>FT-011</x:v>
      </x:c>
      <x:c r="B77" s="12" t="str">
        <x:v>功能合同</x:v>
      </x:c>
      <x:c r="C77" s="12" t="str">
        <x:v>来源能力协商与参数翻译</x:v>
      </x:c>
      <x:c r="D77" s="12" t="str">
        <x:v>SRC-03</x:v>
      </x:c>
      <x:c r="E77" s="12" t="str">
        <x:v>M1</x:v>
      </x:c>
      <x:c r="F77" s="12" t="str">
        <x:v>QueryAST、来源能力声明</x:v>
      </x:c>
      <x:c r="G77" s="12" t="str">
        <x:v>不支持条件不静默丢弃；native只是执行位置，不等于结果已经满足。</x:v>
      </x:c>
      <x:c r="H77" s="24" t="str">
        <x:v>未执行</x:v>
      </x:c>
    </x:row>
    <x:row r="78" ht="76" customHeight="1">
      <x:c r="A78" s="12" t="str">
        <x:v>FT-012</x:v>
      </x:c>
      <x:c r="B78" s="12" t="str">
        <x:v>功能合同</x:v>
      </x:c>
      <x:c r="C78" s="12" t="str">
        <x:v>免费底层来源并集清点与首批适配</x:v>
      </x:c>
      <x:c r="D78" s="12" t="str">
        <x:v>SRC-04</x:v>
      </x:c>
      <x:c r="E78" s="12" t="str">
        <x:v>M1</x:v>
      </x:c>
      <x:c r="F78" s="12" t="str">
        <x:v>SearXNG/4get/LibreY/Websurfx公开清单和额外公共接口候选</x:v>
      </x:c>
      <x:c r="G78" s="12" t="str">
        <x:v>未知是否共用索引不猜测；首批至少有可用外部来源并跨类别；不能审核的候选明确排除。 报告具体入口、许可证据、日期、查询样本、限流与独有结果；无源时明确E_CAPABILITY_UNAVAILABLE，不删减长期功能承诺。</x:v>
      </x:c>
      <x:c r="H78" s="24" t="str">
        <x:v>未执行</x:v>
      </x:c>
    </x:row>
    <x:row r="79" ht="76" customHeight="1">
      <x:c r="A79" s="12" t="str">
        <x:v>FT-013</x:v>
      </x:c>
      <x:c r="B79" s="12" t="str">
        <x:v>功能合同</x:v>
      </x:c>
      <x:c r="C79" s="12" t="str">
        <x:v>统一查询语法与AST</x:v>
      </x:c>
      <x:c r="D79" s="12" t="str">
        <x:v>QRY-01</x:v>
      </x:c>
      <x:c r="E79" s="12" t="str">
        <x:v>M1</x:v>
      </x:c>
      <x:c r="F79" s="12" t="str">
        <x:v>查询字符串或结构化条件</x:v>
      </x:c>
      <x:c r="G79" s="12" t="str">
        <x:v>语法优先级明确；字符串与结构化请求等价；注入/超深嵌套拒绝；不直接拼SQL/FTS字符串。 错误日期、host配after、数组配eq、非host使用host匹配、深AST在执行来源前拒绝。</x:v>
      </x:c>
      <x:c r="H79" s="24" t="str">
        <x:v>未执行</x:v>
      </x:c>
    </x:row>
    <x:row r="80" ht="76" customHeight="1">
      <x:c r="A80" s="12" t="str">
        <x:v>FT-014</x:v>
      </x:c>
      <x:c r="B80" s="12" t="str">
        <x:v>功能合同</x:v>
      </x:c>
      <x:c r="C80" s="12" t="str">
        <x:v>精确字面与标识符匹配</x:v>
      </x:c>
      <x:c r="D80" s="12" t="str">
        <x:v>QRY-02</x:v>
      </x:c>
      <x:c r="E80" s="12" t="str">
        <x:v>M1</x:v>
      </x:c>
      <x:c r="F80" s="12" t="str">
        <x:v>词项、精确模式、字段</x:v>
      </x:c>
      <x:c r="G80" s="12" t="str">
        <x:v>C++/C#/std::expected/HTTP 429样例保持区别；精确条件在候选核验前不得标满足。</x:v>
      </x:c>
      <x:c r="H80" s="24" t="str">
        <x:v>未执行</x:v>
      </x:c>
    </x:row>
    <x:row r="81" ht="76" customHeight="1">
      <x:c r="A81" s="12" t="str">
        <x:v>FT-015</x:v>
      </x:c>
      <x:c r="B81" s="12" t="str">
        <x:v>功能合同</x:v>
      </x:c>
      <x:c r="C81" s="12" t="str">
        <x:v>多源并发搜索与部分结果</x:v>
      </x:c>
      <x:c r="D81" s="12" t="str">
        <x:v>SEARCH-01</x:v>
      </x:c>
      <x:c r="E81" s="12" t="str">
        <x:v>M1</x:v>
      </x:c>
      <x:c r="F81" s="12" t="str">
        <x:v>查询、来源范围、类别、deadline</x:v>
      </x:c>
      <x:c r="G81" s="12" t="str">
        <x:v>单源超时不吞其他结果；不伪造全网数量；未完成源显示未完成。</x:v>
      </x:c>
      <x:c r="H81" s="24" t="str">
        <x:v>未执行</x:v>
      </x:c>
    </x:row>
    <x:row r="82" ht="76" customHeight="1">
      <x:c r="A82" s="12" t="str">
        <x:v>FT-016</x:v>
      </x:c>
      <x:c r="B82" s="12" t="str">
        <x:v>功能合同</x:v>
      </x:c>
      <x:c r="C82" s="12" t="str">
        <x:v>来源去重、内容身份与基础融合</x:v>
      </x:c>
      <x:c r="D82" s="12" t="str">
        <x:v>SEARCH-03</x:v>
      </x:c>
      <x:c r="E82" s="12" t="str">
        <x:v>M1</x:v>
      </x:c>
      <x:c r="F82" s="12" t="str">
        <x:v>候选URL、来源内排名、可用身份依据</x:v>
      </x:c>
      <x:c r="G82" s="12" t="str">
        <x:v>同底层源多实现不重复加权；不同文档版本/语种不盲删；保留发现路径。 两个不同未知族服务仍有各自候选贡献；同provider多adapter不会加票；未知族不计为已证实独立证据。</x:v>
      </x:c>
      <x:c r="H82" s="24" t="str">
        <x:v>未执行</x:v>
      </x:c>
    </x:row>
    <x:row r="83" ht="76" customHeight="1">
      <x:c r="A83" s="12" t="str">
        <x:v>FT-017</x:v>
      </x:c>
      <x:c r="B83" s="12" t="str">
        <x:v>功能合同</x:v>
      </x:c>
      <x:c r="C83" s="12" t="str">
        <x:v>搜索会话、冻结结果与稳定游标</x:v>
      </x:c>
      <x:c r="D83" s="12" t="str">
        <x:v>SESSION-01</x:v>
      </x:c>
      <x:c r="E83" s="12" t="str">
        <x:v>M1</x:v>
      </x:c>
      <x:c r="F83" s="12" t="str">
        <x:v>查询、刷新/继续/细化动作</x:v>
      </x:c>
      <x:c r="G83" s="12" t="str">
        <x:v>无跨页重复或静默重排；权限收紧时失效重建而非泄漏；游标过期需重搜。</x:v>
      </x:c>
      <x:c r="H83" s="24" t="str">
        <x:v>未执行</x:v>
      </x:c>
    </x:row>
    <x:row r="84" ht="76" customHeight="1">
      <x:c r="A84" s="12" t="str">
        <x:v>FT-018</x:v>
      </x:c>
      <x:c r="B84" s="12" t="str">
        <x:v>功能合同</x:v>
      </x:c>
      <x:c r="C84" s="12" t="str">
        <x:v>流式结果、断线续传与取消</x:v>
      </x:c>
      <x:c r="D84" s="12" t="str">
        <x:v>SESSION-02</x:v>
      </x:c>
      <x:c r="E84" s="12" t="str">
        <x:v>M1</x:v>
      </x:c>
      <x:c r="F84" s="12" t="str">
        <x:v>会话订阅、Last-Event-ID、取消动作</x:v>
      </x:c>
      <x:c r="G84" s="12" t="str">
        <x:v>断线重播按event_id去重；客户端慢不耗尽内存；停止搜索保留已完成结果。</x:v>
      </x:c>
      <x:c r="H84" s="24" t="str">
        <x:v>未执行</x:v>
      </x:c>
    </x:row>
    <x:row r="85" ht="76" customHeight="1">
      <x:c r="A85" s="12" t="str">
        <x:v>FT-019</x:v>
      </x:c>
      <x:c r="B85" s="12" t="str">
        <x:v>功能合同</x:v>
      </x:c>
      <x:c r="C85" s="12" t="str">
        <x:v>快速/均衡/深入执行预设</x:v>
      </x:c>
      <x:c r="D85" s="12" t="str">
        <x:v>MODE-01</x:v>
      </x:c>
      <x:c r="E85" s="12" t="str">
        <x:v>M1</x:v>
      </x:c>
      <x:c r="F85" s="12" t="str">
        <x:v>模式、授权预算覆盖</x:v>
      </x:c>
      <x:c r="G85" s="12" t="str">
        <x:v>快速模式不强制浏览器或模型；任一预设都受同源额度与硬约束限制。</x:v>
      </x:c>
      <x:c r="H85" s="24" t="str">
        <x:v>未执行</x:v>
      </x:c>
    </x:row>
    <x:row r="86" ht="76" customHeight="1">
      <x:c r="A86" s="12" t="str">
        <x:v>FT-020</x:v>
      </x:c>
      <x:c r="B86" s="12" t="str">
        <x:v>功能合同</x:v>
      </x:c>
      <x:c r="C86" s="12" t="str">
        <x:v>最小搜索、读取与任务界面</x:v>
      </x:c>
      <x:c r="D86" s="12" t="str">
        <x:v>UI-01</x:v>
      </x:c>
      <x:c r="E86" s="12" t="str">
        <x:v>M1</x:v>
      </x:c>
      <x:c r="F86" s="12" t="str">
        <x:v>查询和控制操作</x:v>
      </x:c>
      <x:c r="G86" s="12" t="str">
        <x:v>不加载第三方统计或外链字体；未实现按钮隐藏；所有操作仍经统一授权接口。</x:v>
      </x:c>
      <x:c r="H86" s="24" t="str">
        <x:v>未执行</x:v>
      </x:c>
    </x:row>
    <x:row r="87" ht="76" customHeight="1">
      <x:c r="A87" s="12" t="str">
        <x:v>FT-021</x:v>
      </x:c>
      <x:c r="B87" s="12" t="str">
        <x:v>功能合同</x:v>
      </x:c>
      <x:c r="C87" s="12" t="str">
        <x:v>HTTP读取与质量状态</x:v>
      </x:c>
      <x:c r="D87" s="12" t="str">
        <x:v>READ-01</x:v>
      </x:c>
      <x:c r="E87" s="12" t="str">
        <x:v>M2</x:v>
      </x:c>
      <x:c r="F87" s="12" t="str">
        <x:v>URL、请求策略、字节/超时限制</x:v>
      </x:c>
      <x:c r="G87" s="12" t="str">
        <x:v>HTTP200登录页不等于正文成功；断流保留部分状态；不自动使用代理或收费后端。</x:v>
      </x:c>
      <x:c r="H87" s="24" t="str">
        <x:v>未执行</x:v>
      </x:c>
    </x:row>
    <x:row r="88" ht="76" customHeight="1">
      <x:c r="A88" s="12" t="str">
        <x:v>FT-022</x:v>
      </x:c>
      <x:c r="B88" s="12" t="str">
        <x:v>功能合同</x:v>
      </x:c>
      <x:c r="C88" s="12" t="str">
        <x:v>动态网页与受控浏览器动作</x:v>
      </x:c>
      <x:c r="D88" s="12" t="str">
        <x:v>READ-02</x:v>
      </x:c>
      <x:c r="E88" s="12" t="str">
        <x:v>M2</x:v>
      </x:c>
      <x:c r="F88" s="12" t="str">
        <x:v>render策略、等待元素、展开/滚动/分页上限</x:v>
      </x:c>
      <x:c r="G88" s="12" t="str">
        <x:v>延迟渲染成功或明确失败；浏览器无出口绕过；auth状态隔离；禁止用无限等待充当页面就绪。</x:v>
      </x:c>
      <x:c r="H88" s="24" t="str">
        <x:v>未执行</x:v>
      </x:c>
    </x:row>
    <x:row r="89" ht="76" customHeight="1">
      <x:c r="A89" s="12" t="str">
        <x:v>FT-023</x:v>
      </x:c>
      <x:c r="B89" s="12" t="str">
        <x:v>功能合同</x:v>
      </x:c>
      <x:c r="C89" s="12" t="str">
        <x:v>正文、代码、表格与元数据提取</x:v>
      </x:c>
      <x:c r="D89" s="12" t="str">
        <x:v>READ-03</x:v>
      </x:c>
      <x:c r="E89" s="12" t="str">
        <x:v>M2</x:v>
      </x:c>
      <x:c r="F89" s="12" t="str">
        <x:v>HTML/DOM、article/document/full_clean、选择器</x:v>
      </x:c>
      <x:c r="G89" s="12" t="str">
        <x:v>正文质量分类型评测；发布时间未知为null；规则版本改变新建Extraction；片段位置可追溯。</x:v>
      </x:c>
      <x:c r="H89" s="24" t="str">
        <x:v>未执行</x:v>
      </x:c>
    </x:row>
    <x:row r="90" ht="76" customHeight="1">
      <x:c r="A90" s="12" t="str">
        <x:v>FT-024</x:v>
      </x:c>
      <x:c r="B90" s="12" t="str">
        <x:v>功能合同</x:v>
      </x:c>
      <x:c r="C90" s="12" t="str">
        <x:v>授权会话与站点读取配置</x:v>
      </x:c>
      <x:c r="D90" s="12" t="str">
        <x:v>READ-05</x:v>
      </x:c>
      <x:c r="E90" s="12" t="str">
        <x:v>M2</x:v>
      </x:c>
      <x:c r="F90" s="12" t="str">
        <x:v>明确授权的凭据引用、读取站点配置</x:v>
      </x:c>
      <x:c r="G90" s="12" t="str">
        <x:v>两用户同URL不混Cookie；凭据删除立即停止后续调用；日志不含Cookie与密钥。</x:v>
      </x:c>
      <x:c r="H90" s="24" t="str">
        <x:v>未执行</x:v>
      </x:c>
    </x:row>
    <x:row r="91" ht="76" customHeight="1">
      <x:c r="A91" s="12" t="str">
        <x:v>FT-025</x:v>
      </x:c>
      <x:c r="B91" s="12" t="str">
        <x:v>功能合同</x:v>
      </x:c>
      <x:c r="C91" s="12" t="str">
        <x:v>PDF/文本及Office开放格式解析</x:v>
      </x:c>
      <x:c r="D91" s="12" t="str">
        <x:v>DOC-01</x:v>
      </x:c>
      <x:c r="E91" s="12" t="str">
        <x:v>M2</x:v>
      </x:c>
      <x:c r="F91" s="12" t="str">
        <x:v>授权文件或URL、MIME/页数/体积限制</x:v>
      </x:c>
      <x:c r="G91" s="12" t="str">
        <x:v>扩展名与内容嗅探冲突可拒绝；压缩炸弹与路径穿越阻断；缺失文本层进入显式OCR队列。</x:v>
      </x:c>
      <x:c r="H91" s="24" t="str">
        <x:v>未执行</x:v>
      </x:c>
    </x:row>
    <x:row r="92" ht="76" customHeight="1">
      <x:c r="A92" s="12" t="str">
        <x:v>FT-026</x:v>
      </x:c>
      <x:c r="B92" s="12" t="str">
        <x:v>功能合同</x:v>
      </x:c>
      <x:c r="C92" s="12" t="str">
        <x:v>批量网页/文档读取</x:v>
      </x:c>
      <x:c r="D92" s="12" t="str">
        <x:v>BATCH-01</x:v>
      </x:c>
      <x:c r="E92" s="12" t="str">
        <x:v>M2</x:v>
      </x:c>
      <x:c r="F92" s="12" t="str">
        <x:v>明确URL/文件列表</x:v>
      </x:c>
      <x:c r="G92" s="12" t="str">
        <x:v>10个输入只处理授权10项；失败隔离；暂停恢复不会重发已提交项。</x:v>
      </x:c>
      <x:c r="H92" s="24" t="str">
        <x:v>未执行</x:v>
      </x:c>
    </x:row>
    <x:row r="93" ht="76" customHeight="1">
      <x:c r="A93" s="12" t="str">
        <x:v>FT-027</x:v>
      </x:c>
      <x:c r="B93" s="12" t="str">
        <x:v>功能合同</x:v>
      </x:c>
      <x:c r="C93" s="12" t="str">
        <x:v>Sitemap/Feed/链接发现</x:v>
      </x:c>
      <x:c r="D93" s="12" t="str">
        <x:v>MAP-01</x:v>
      </x:c>
      <x:c r="E93" s="12" t="str">
        <x:v>M2</x:v>
      </x:c>
      <x:c r="F93" s="12" t="str">
        <x:v>入口、路径范围、发现预算</x:v>
      </x:c>
      <x:c r="G93" s="12" t="str">
        <x:v>候选不是已读；不宣称完整全站；XML外部实体禁用；页面深度与路径层数分开。</x:v>
      </x:c>
      <x:c r="H93" s="24" t="str">
        <x:v>未执行</x:v>
      </x:c>
    </x:row>
    <x:row r="94" ht="76" customHeight="1">
      <x:c r="A94" s="12" t="str">
        <x:v>FT-028</x:v>
      </x:c>
      <x:c r="B94" s="12" t="str">
        <x:v>功能合同</x:v>
      </x:c>
      <x:c r="C94" s="12" t="str">
        <x:v>有界递归爬虫与抓取前沿</x:v>
      </x:c>
      <x:c r="D94" s="12" t="str">
        <x:v>CRAWL-01</x:v>
      </x:c>
      <x:c r="E94" s="12" t="str">
        <x:v>M2</x:v>
      </x:c>
      <x:c r="F94" s="12" t="str">
        <x:v>seeds、范围、页/请求/字节/深度预算</x:v>
      </x:c>
      <x:c r="G94" s="12" t="str">
        <x:v>在途预算原子预留；达到限额显示partial；frontier耗尽仅代表允许范围；断点可恢复。</x:v>
      </x:c>
      <x:c r="H94" s="24" t="str">
        <x:v>未执行</x:v>
      </x:c>
    </x:row>
    <x:row r="95" ht="76" customHeight="1">
      <x:c r="A95" s="12" t="str">
        <x:v>FT-029</x:v>
      </x:c>
      <x:c r="B95" s="12" t="str">
        <x:v>功能合同</x:v>
      </x:c>
      <x:c r="C95" s="12" t="str">
        <x:v>公开索引与摘要发布规则</x:v>
      </x:c>
      <x:c r="D95" s="12" t="str">
        <x:v>CRAWL-03</x:v>
      </x:c>
      <x:c r="E95" s="12" t="str">
        <x:v>M2</x:v>
      </x:c>
      <x:c r="F95" s="12" t="str">
        <x:v>robots.txt、headers、meta和集合发布策略</x:v>
      </x:c>
      <x:c r="G95" s="12" t="str">
        <x:v>抓取允许不等于可公开索引；不按Google专属token套用于本工具；noindex变化触发索引移除。 未满足robots准入不会先到本模块；公开发布标签生效不等待整站爬虫完成。</x:v>
      </x:c>
      <x:c r="H95" s="24" t="str">
        <x:v>未执行</x:v>
      </x:c>
    </x:row>
    <x:row r="96" ht="76" customHeight="1">
      <x:c r="A96" s="12" t="str">
        <x:v>FT-030</x:v>
      </x:c>
      <x:c r="B96" s="12" t="str">
        <x:v>功能合同</x:v>
      </x:c>
      <x:c r="C96" s="12" t="str">
        <x:v>字段化全文检索与索引服务</x:v>
      </x:c>
      <x:c r="D96" s="12" t="str">
        <x:v>INDEX-01</x:v>
      </x:c>
      <x:c r="E96" s="12" t="str">
        <x:v>M2</x:v>
      </x:c>
      <x:c r="F96" s="12" t="str">
        <x:v>结构块、语言、字段权重</x:v>
      </x:c>
      <x:c r="G96" s="12" t="str">
        <x:v>新增内容可搜索；FTS查询由AST编译而非原串；私有授权集合内排序与计数。</x:v>
      </x:c>
      <x:c r="H96" s="24" t="str">
        <x:v>未执行</x:v>
      </x:c>
    </x:row>
    <x:row r="97" ht="76" customHeight="1">
      <x:c r="A97" s="12" t="str">
        <x:v>FT-031</x:v>
      </x:c>
      <x:c r="B97" s="12" t="str">
        <x:v>功能合同</x:v>
      </x:c>
      <x:c r="C97" s="12" t="str">
        <x:v>索引增删改、可见性与版本切换</x:v>
      </x:c>
      <x:c r="D97" s="12" t="str">
        <x:v>INDEX-03</x:v>
      </x:c>
      <x:c r="E97" s="12" t="str">
        <x:v>M2</x:v>
      </x:c>
      <x:c r="F97" s="12" t="str">
        <x:v>解析产物变更、删除与ACL变更</x:v>
      </x:c>
      <x:c r="G97" s="12" t="str">
        <x:v>可读不假装可搜；删除同步挡发布；旧游标撤权立即失效；恢复备份不复活删除内容。 更新后默认结果不返回旧正文；历史显式查询仍定位原版本；索引损坏可从有效正文恢复。</x:v>
      </x:c>
      <x:c r="H97" s="24" t="str">
        <x:v>未执行</x:v>
      </x:c>
    </x:row>
    <x:row r="98" ht="76" customHeight="1">
      <x:c r="A98" s="12" t="str">
        <x:v>FT-032</x:v>
      </x:c>
      <x:c r="B98" s="12" t="str">
        <x:v>功能合同</x:v>
      </x:c>
      <x:c r="C98" s="12" t="str">
        <x:v>多级缓存与在途请求复用</x:v>
      </x:c>
      <x:c r="D98" s="12" t="str">
        <x:v>CACHE-01</x:v>
      </x:c>
      <x:c r="E98" s="12" t="str">
        <x:v>M2</x:v>
      </x:c>
      <x:c r="F98" s="12" t="str">
        <x:v>请求表示、权限、版本、新鲜度模式</x:v>
      </x:c>
      <x:c r="G98" s="12" t="str">
        <x:v>cache_only不联网采集；offline连远程模型也禁止；刷新失败旧内容需显式授权；不跨身份复用。</x:v>
      </x:c>
      <x:c r="H98" s="24" t="str">
        <x:v>未执行</x:v>
      </x:c>
    </x:row>
    <x:row r="99" ht="76" customHeight="1">
      <x:c r="A99" s="12" t="str">
        <x:v>FT-033</x:v>
      </x:c>
      <x:c r="B99" s="12" t="str">
        <x:v>功能合同</x:v>
      </x:c>
      <x:c r="C99" s="12" t="str">
        <x:v>中文简繁、混合语言与原文映射</x:v>
      </x:c>
      <x:c r="D99" s="12" t="str">
        <x:v>QRY-03</x:v>
      </x:c>
      <x:c r="E99" s="12" t="str">
        <x:v>M3</x:v>
      </x:c>
      <x:c r="F99" s="12" t="str">
        <x:v>中文/多语文本、术语字典</x:v>
      </x:c>
      <x:c r="G99" s="12" t="str">
        <x:v>中英代码混合可命中；两语种不互相覆盖；每条highlight仍指向原文。</x:v>
      </x:c>
      <x:c r="H99" s="24" t="str">
        <x:v>未执行</x:v>
      </x:c>
    </x:row>
    <x:row r="100" ht="76" customHeight="1">
      <x:c r="A100" s="12" t="str">
        <x:v>FT-034</x:v>
      </x:c>
      <x:c r="B100" s="12" t="str">
        <x:v>功能合同</x:v>
      </x:c>
      <x:c r="C100" s="12" t="str">
        <x:v>硬条件核验与预算内补召回</x:v>
      </x:c>
      <x:c r="D100" s="12" t="str">
        <x:v>QRY-04</x:v>
      </x:c>
      <x:c r="E100" s="12" t="str">
        <x:v>M3</x:v>
      </x:c>
      <x:c r="F100" s="12" t="str">
        <x:v>AST约束、候选及已读内容</x:v>
      </x:c>
      <x:c r="G100" s="12" t="str">
        <x:v>strict主结果只放已核验满足项；unknown单列；预算不足不说全网无结果。</x:v>
      </x:c>
      <x:c r="H100" s="24" t="str">
        <x:v>未执行</x:v>
      </x:c>
    </x:row>
    <x:row r="101" ht="76" customHeight="1">
      <x:c r="A101" s="12" t="str">
        <x:v>FT-035</x:v>
      </x:c>
      <x:c r="B101" s="12" t="str">
        <x:v>功能合同</x:v>
      </x:c>
      <x:c r="C101" s="12" t="str">
        <x:v>纠错、别名与可控模糊匹配</x:v>
      </x:c>
      <x:c r="D101" s="12" t="str">
        <x:v>QRY-05</x:v>
      </x:c>
      <x:c r="E101" s="12" t="str">
        <x:v>M3</x:v>
      </x:c>
      <x:c r="F101" s="12" t="str">
        <x:v>查询、领域词典、精确保护项</x:v>
      </x:c>
      <x:c r="G101" s="12" t="str">
        <x:v>没有自动把C++改成C#；纠错不删除硬条件；中英文词典范围可配置。</x:v>
      </x:c>
      <x:c r="H101" s="24" t="str">
        <x:v>未执行</x:v>
      </x:c>
    </x:row>
    <x:row r="102" ht="76" customHeight="1">
      <x:c r="A102" s="12" t="str">
        <x:v>FT-036</x:v>
      </x:c>
      <x:c r="B102" s="12" t="str">
        <x:v>功能合同</x:v>
      </x:c>
      <x:c r="C102" s="12" t="str">
        <x:v>联想补全与相关查询</x:v>
      </x:c>
      <x:c r="D102" s="12" t="str">
        <x:v>QRY-06</x:v>
      </x:c>
      <x:c r="E102" s="12" t="str">
        <x:v>M3</x:v>
      </x:c>
      <x:c r="F102" s="12" t="str">
        <x:v>前缀、公开词典、授权历史</x:v>
      </x:c>
      <x:c r="G102" s="12" t="str">
        <x:v>未提交的按键默认不外发；关闭历史后不继续积累；查询建议无他人私有词。</x:v>
      </x:c>
      <x:c r="H102" s="24" t="str">
        <x:v>未执行</x:v>
      </x:c>
    </x:row>
    <x:row r="103" ht="76" customHeight="1">
      <x:c r="A103" s="12" t="str">
        <x:v>FT-037</x:v>
      </x:c>
      <x:c r="B103" s="12" t="str">
        <x:v>功能合同</x:v>
      </x:c>
      <x:c r="C103" s="12" t="str">
        <x:v>多样性、转载聚类与质量过滤</x:v>
      </x:c>
      <x:c r="D103" s="12" t="str">
        <x:v>RANK-01</x:v>
      </x:c>
      <x:c r="E103" s="12" t="str">
        <x:v>M3</x:v>
      </x:c>
      <x:c r="F103" s="12" t="str">
        <x:v>候选、主题、内容指纹</x:v>
      </x:c>
      <x:c r="G103" s="12" t="str">
        <x:v>site限定不被多样性突破；未知站点不默认降权；被折叠结果可展开并可核验误杀。</x:v>
      </x:c>
      <x:c r="H103" s="24" t="str">
        <x:v>未执行</x:v>
      </x:c>
    </x:row>
    <x:row r="104" ht="76" customHeight="1">
      <x:c r="A104" s="12" t="str">
        <x:v>FT-038</x:v>
      </x:c>
      <x:c r="B104" s="12" t="str">
        <x:v>功能合同</x:v>
      </x:c>
      <x:c r="C104" s="12" t="str">
        <x:v>排序解释与来源增量价值</x:v>
      </x:c>
      <x:c r="D104" s="12" t="str">
        <x:v>RANK-02</x:v>
      </x:c>
      <x:c r="E104" s="12" t="str">
        <x:v>M3</x:v>
      </x:c>
      <x:c r="F104" s="12" t="str">
        <x:v>执行记录、排名因子、来源贡献</x:v>
      </x:c>
      <x:c r="G104" s="12" t="str">
        <x:v>解释与实际排序版本一致；原始分数不冒充事实可信度；只评估采样/当前集合。</x:v>
      </x:c>
      <x:c r="H104" s="24" t="str">
        <x:v>未执行</x:v>
      </x:c>
    </x:row>
    <x:row r="105" ht="76" customHeight="1">
      <x:c r="A105" s="12" t="str">
        <x:v>FT-039</x:v>
      </x:c>
      <x:c r="B105" s="12" t="str">
        <x:v>功能合同</x:v>
      </x:c>
      <x:c r="C105" s="12" t="str">
        <x:v>空结果诊断与安全放宽建议</x:v>
      </x:c>
      <x:c r="D105" s="12" t="str">
        <x:v>SEARCH-05</x:v>
      </x:c>
      <x:c r="E105" s="12" t="str">
        <x:v>M3</x:v>
      </x:c>
      <x:c r="F105" s="12" t="str">
        <x:v>来源状态、候选过滤日志、预算</x:v>
      </x:c>
      <x:c r="G105" s="12" t="str">
        <x:v>没搜到不显示为不存在；重复补搜无新增时停止；保留原始条件。</x:v>
      </x:c>
      <x:c r="H105" s="24" t="str">
        <x:v>未执行</x:v>
      </x:c>
    </x:row>
    <x:row r="106" ht="76" customHeight="1">
      <x:c r="A106" s="12" t="str">
        <x:v>FT-040</x:v>
      </x:c>
      <x:c r="B106" s="12" t="str">
        <x:v>功能合同</x:v>
      </x:c>
      <x:c r="C106" s="12" t="str">
        <x:v>分面筛选与连续细化</x:v>
      </x:c>
      <x:c r="D106" s="12" t="str">
        <x:v>FACET-01</x:v>
      </x:c>
      <x:c r="E106" s="12" t="str">
        <x:v>M3</x:v>
      </x:c>
      <x:c r="F106" s="12" t="str">
        <x:v>会话、语言/类型/站点/时间/已读/条件状态</x:v>
      </x:c>
      <x:c r="G106" s="12" t="str">
        <x:v>所有计数过ACL；不把候选数量当全网量；未知时间单列。</x:v>
      </x:c>
      <x:c r="H106" s="24" t="str">
        <x:v>未执行</x:v>
      </x:c>
    </x:row>
    <x:row r="107" ht="76" customHeight="1">
      <x:c r="A107" s="12" t="str">
        <x:v>FT-041</x:v>
      </x:c>
      <x:c r="B107" s="12" t="str">
        <x:v>功能合同</x:v>
      </x:c>
      <x:c r="C107" s="12" t="str">
        <x:v>自适应来源选择与后续批次扩展</x:v>
      </x:c>
      <x:c r="D107" s="12" t="str">
        <x:v>SRC-05</x:v>
      </x:c>
      <x:c r="E107" s="12" t="str">
        <x:v>M3</x:v>
      </x:c>
      <x:c r="F107" s="12" t="str">
        <x:v>查询类别、免费来源健康与增量统计</x:v>
      </x:c>
      <x:c r="G107" s="12" t="str">
        <x:v>新增源改善或降低效果有分组报告；同源限流不被策略绕过；策略可回滚。</x:v>
      </x:c>
      <x:c r="H107" s="24" t="str">
        <x:v>未执行</x:v>
      </x:c>
    </x:row>
    <x:row r="108" ht="76" customHeight="1">
      <x:c r="A108" s="12" t="str">
        <x:v>FT-042</x:v>
      </x:c>
      <x:c r="B108" s="12" t="str">
        <x:v>功能合同</x:v>
      </x:c>
      <x:c r="C108" s="12" t="str">
        <x:v>检索相关性与约束基准</x:v>
      </x:c>
      <x:c r="D108" s="12" t="str">
        <x:v>QA-02</x:v>
      </x:c>
      <x:c r="E108" s="12" t="str">
        <x:v>M3</x:v>
      </x:c>
      <x:c r="F108" s="12" t="str">
        <x:v>固定查询、人工标签、离线候选与实时样本</x:v>
      </x:c>
      <x:c r="G108" s="12" t="str">
        <x:v>硬条件与引用错误阻断发布；无全网召回率声称；质量提升有人工与复现依据。 未冻结环境/语料hash/阈值/审查人不能通过性能或语义发布门禁；确定性约束失败数必须为0。</x:v>
      </x:c>
      <x:c r="H108" s="24" t="str">
        <x:v>未执行</x:v>
      </x:c>
    </x:row>
    <x:row r="109" ht="76" customHeight="1">
      <x:c r="A109" s="12" t="str">
        <x:v>FT-043</x:v>
      </x:c>
      <x:c r="B109" s="12" t="str">
        <x:v>功能合同</x:v>
      </x:c>
      <x:c r="C109" s="12" t="str">
        <x:v>模型端点、角色配置与能力验证</x:v>
      </x:c>
      <x:c r="D109" s="12" t="str">
        <x:v>MODEL-01</x:v>
      </x:c>
      <x:c r="E109" s="12" t="str">
        <x:v>M4</x:v>
      </x:c>
      <x:c r="F109" s="12" t="str">
        <x:v>用户模型profile与密钥引用</x:v>
      </x:c>
      <x:c r="G109" s="12" t="str">
        <x:v>本地与远程都允许；未支持参数报错；不隐式换提供方；禁用供应商托管搜索/浏览器。 无模型配置Schema和程序均接受；角色引用不存在、能力不匹配、非法出站地址由明确层次拒绝。</x:v>
      </x:c>
      <x:c r="H109" s="24" t="str">
        <x:v>未执行</x:v>
      </x:c>
    </x:row>
    <x:row r="110" ht="76" customHeight="1">
      <x:c r="A110" s="12" t="str">
        <x:v>FT-044</x:v>
      </x:c>
      <x:c r="B110" s="12" t="str">
        <x:v>功能合同</x:v>
      </x:c>
      <x:c r="C110" s="12" t="str">
        <x:v>模型预算、结构输出、缓存与数据出站</x:v>
      </x:c>
      <x:c r="D110" s="12" t="str">
        <x:v>MODEL-02</x:v>
      </x:c>
      <x:c r="E110" s="12" t="str">
        <x:v>M4</x:v>
      </x:c>
      <x:c r="F110" s="12" t="str">
        <x:v>角色调用、证据、Schema、权限</x:v>
      </x:c>
      <x:c r="G110" s="12" t="str">
        <x:v>未知usage不记0；模型不能增预算；网页不能扩大工具权限；私有材料未授权不外发。 遗漏/显式null/任务覆盖分别测试；模型请求中不能混入未获准profile；参数不支持不静默丢弃。</x:v>
      </x:c>
      <x:c r="H110" s="24" t="str">
        <x:v>未执行</x:v>
      </x:c>
    </x:row>
    <x:row r="111" ht="76" customHeight="1">
      <x:c r="A111" s="12" t="str">
        <x:v>FT-045</x:v>
      </x:c>
      <x:c r="B111" s="12" t="str">
        <x:v>功能合同</x:v>
      </x:c>
      <x:c r="C111" s="12" t="str">
        <x:v>自然语言规划与跨语言扩展</x:v>
      </x:c>
      <x:c r="D111" s="12" t="str">
        <x:v>SEARCH-02</x:v>
      </x:c>
      <x:c r="E111" s="12" t="str">
        <x:v>M4</x:v>
      </x:c>
      <x:c r="F111" s="12" t="str">
        <x:v>目标、硬条件、输出语言</x:v>
      </x:c>
      <x:c r="G111" s="12" t="str">
        <x:v>原查询保留；派生查询数量受控；模型故障可原词搜索；不是翻译结果后伪称原文。</x:v>
      </x:c>
      <x:c r="H111" s="24" t="str">
        <x:v>未执行</x:v>
      </x:c>
    </x:row>
    <x:row r="112" ht="76" customHeight="1">
      <x:c r="A112" s="12" t="str">
        <x:v>FT-046</x:v>
      </x:c>
      <x:c r="B112" s="12" t="str">
        <x:v>功能合同</x:v>
      </x:c>
      <x:c r="C112" s="12" t="str">
        <x:v>语义向量与混合检索</x:v>
      </x:c>
      <x:c r="D112" s="12" t="str">
        <x:v>INDEX-02</x:v>
      </x:c>
      <x:c r="E112" s="12" t="str">
        <x:v>M4</x:v>
      </x:c>
      <x:c r="F112" s="12" t="str">
        <x:v>查询/正文、嵌入profile、ACL集合</x:v>
      </x:c>
      <x:c r="G112" s="12" t="str">
        <x:v>不同维度/模型不混用；索引可重建；ANN过滤召回不足标partial；无向量仍有全文搜索。 查询与写入压力交错不发生数据竞争；崩溃重放幂等；k大于可用数不伪造结果；重载后恢复ef/模型空间和水位。</x:v>
      </x:c>
      <x:c r="H112" s="24" t="str">
        <x:v>未执行</x:v>
      </x:c>
    </x:row>
    <x:row r="113" ht="76" customHeight="1">
      <x:c r="A113" s="12" t="str">
        <x:v>FT-047</x:v>
      </x:c>
      <x:c r="B113" s="12" t="str">
        <x:v>功能合同</x:v>
      </x:c>
      <x:c r="C113" s="12" t="str">
        <x:v>原文Highlights与证据定位</x:v>
      </x:c>
      <x:c r="D113" s="12" t="str">
        <x:v>EVID-01</x:v>
      </x:c>
      <x:c r="E113" s="12" t="str">
        <x:v>M4</x:v>
      </x:c>
      <x:c r="F113" s="12" t="str">
        <x:v>问题、文档版本、长度预算</x:v>
      </x:c>
      <x:c r="G113" s="12" t="str">
        <x:v>每条已发布quote可从不可变文本精确切出；模型改写进summary；OCR另标识。 无模型仍能产出可定位基础片段；有模型后相关性增强另测，不用基础完成冒充模型增强。</x:v>
      </x:c>
      <x:c r="H113" s="24" t="str">
        <x:v>未执行</x:v>
      </x:c>
    </x:row>
    <x:row r="114" ht="76" customHeight="1">
      <x:c r="A114" s="12" t="str">
        <x:v>FT-048</x:v>
      </x:c>
      <x:c r="B114" s="12" t="str">
        <x:v>功能合同</x:v>
      </x:c>
      <x:c r="C114" s="12" t="str">
        <x:v>页内查找、定位与分段阅读</x:v>
      </x:c>
      <x:c r="D114" s="12" t="str">
        <x:v>EVID-02</x:v>
      </x:c>
      <x:c r="E114" s="12" t="str">
        <x:v>M4</x:v>
      </x:c>
      <x:c r="F114" s="12" t="str">
        <x:v>extraction_id、词项/范围/游标</x:v>
      </x:c>
      <x:c r="G114" s="12" t="str">
        <x:v>find不重新抓网页；过期/删除证据明确不可用；每次调用重新鉴权。</x:v>
      </x:c>
      <x:c r="H114" s="24" t="str">
        <x:v>未执行</x:v>
      </x:c>
    </x:row>
    <x:row r="115" ht="76" customHeight="1">
      <x:c r="A115" s="12" t="str">
        <x:v>FT-049</x:v>
      </x:c>
      <x:c r="B115" s="12" t="str">
        <x:v>功能合同</x:v>
      </x:c>
      <x:c r="C115" s="12" t="str">
        <x:v>规则/模型字段提取与证据核验</x:v>
      </x:c>
      <x:c r="D115" s="12" t="str">
        <x:v>EXTRACT-01</x:v>
      </x:c>
      <x:c r="E115" s="12" t="str">
        <x:v>M4</x:v>
      </x:c>
      <x:c r="F115" s="12" t="str">
        <x:v>文档集合、字段Schema、核验要求</x:v>
      </x:c>
      <x:c r="G115" s="12" t="str">
        <x:v>Schema合法不等于语义正确；未知引用ID拒绝；不支持必填要求报告冲突。</x:v>
      </x:c>
      <x:c r="H115" s="24" t="str">
        <x:v>未执行</x:v>
      </x:c>
    </x:row>
    <x:row r="116" ht="76" customHeight="1">
      <x:c r="A116" s="12" t="str">
        <x:v>FT-050</x:v>
      </x:c>
      <x:c r="B116" s="12" t="str">
        <x:v>功能合同</x:v>
      </x:c>
      <x:c r="C116" s="12" t="str">
        <x:v>证据回答与冲突呈现</x:v>
      </x:c>
      <x:c r="D116" s="12" t="str">
        <x:v>ANSWER-01</x:v>
      </x:c>
      <x:c r="E116" s="12" t="str">
        <x:v>M4</x:v>
      </x:c>
      <x:c r="F116" s="12" t="str">
        <x:v>问题、证据、模型配置</x:v>
      </x:c>
      <x:c r="G116" s="12" t="str">
        <x:v>无证据关键断言删除/限定；对立资料不隐藏；模型记忆不伪装成引用事实。</x:v>
      </x:c>
      <x:c r="H116" s="24" t="str">
        <x:v>未执行</x:v>
      </x:c>
    </x:row>
    <x:row r="117" ht="76" customHeight="1">
      <x:c r="A117" s="12" t="str">
        <x:v>FT-051</x:v>
      </x:c>
      <x:c r="B117" s="12" t="str">
        <x:v>功能合同</x:v>
      </x:c>
      <x:c r="C117" s="12" t="str">
        <x:v>有界多轮研究</x:v>
      </x:c>
      <x:c r="D117" s="12" t="str">
        <x:v>RESEARCH-01</x:v>
      </x:c>
      <x:c r="E117" s="12" t="str">
        <x:v>M4</x:v>
      </x:c>
      <x:c r="F117" s="12" t="str">
        <x:v>目标、约束、轮次与资源预算</x:v>
      </x:c>
      <x:c r="G117" s="12" t="str">
        <x:v>模型不得增预算；无新增证据停止；生成失败保留证据；中止可恢复。</x:v>
      </x:c>
      <x:c r="H117" s="24" t="str">
        <x:v>未执行</x:v>
      </x:c>
    </x:row>
    <x:row r="118" ht="76" customHeight="1">
      <x:c r="A118" s="12" t="str">
        <x:v>FT-052</x:v>
      </x:c>
      <x:c r="B118" s="12" t="str">
        <x:v>功能合同</x:v>
      </x:c>
      <x:c r="C118" s="12" t="str">
        <x:v>相似网页与示例驱动检索</x:v>
      </x:c>
      <x:c r="D118" s="12" t="str">
        <x:v>SEARCH-04</x:v>
      </x:c>
      <x:c r="E118" s="12" t="str">
        <x:v>M4</x:v>
      </x:c>
      <x:c r="F118" s="12" t="str">
        <x:v>种子网页/文本/快照、local/external/both</x:v>
      </x:c>
      <x:c r="G118" s="12" t="str">
        <x:v>标明搜索覆盖范围；无全网反向索引承诺；私人种子不擅自变成外部查询。</x:v>
      </x:c>
      <x:c r="H118" s="24" t="str">
        <x:v>未执行</x:v>
      </x:c>
    </x:row>
    <x:row r="119" ht="76" customHeight="1">
      <x:c r="A119" s="12" t="str">
        <x:v>FT-053</x:v>
      </x:c>
      <x:c r="B119" s="12" t="str">
        <x:v>功能合同</x:v>
      </x:c>
      <x:c r="C119" s="12" t="str">
        <x:v>实体资料集与逐项条件核验</x:v>
      </x:c>
      <x:c r="D119" s="12" t="str">
        <x:v>DATASET-01</x:v>
      </x:c>
      <x:c r="E119" s="12" t="str">
        <x:v>M5</x:v>
      </x:c>
      <x:c r="F119" s="12" t="str">
        <x:v>对象描述、条件、字段与数量</x:v>
      </x:c>
      <x:c r="G119" s="12" t="str">
        <x:v>unknown不当false；新证据覆盖字段要留历史；搜索相关不能冒充满足。</x:v>
      </x:c>
      <x:c r="H119" s="24" t="str">
        <x:v>未执行</x:v>
      </x:c>
    </x:row>
    <x:row r="120" ht="76" customHeight="1">
      <x:c r="A120" s="12" t="str">
        <x:v>FT-054</x:v>
      </x:c>
      <x:c r="B120" s="12" t="str">
        <x:v>功能合同</x:v>
      </x:c>
      <x:c r="C120" s="12" t="str">
        <x:v>自适应定位与规则修复</x:v>
      </x:c>
      <x:c r="D120" s="12" t="str">
        <x:v>READ-04</x:v>
      </x:c>
      <x:c r="E120" s="12" t="str">
        <x:v>M5</x:v>
      </x:c>
      <x:c r="F120" s="12" t="str">
        <x:v>已确认规则、历史DOM特征、新页面</x:v>
      </x:c>
      <x:c r="G120" s="12" t="str">
        <x:v>不确定和错误匹配均可报告；失败不静默替换已确认规则；跨站点隔离。</x:v>
      </x:c>
      <x:c r="H120" s="24" t="str">
        <x:v>未执行</x:v>
      </x:c>
    </x:row>
    <x:row r="121" ht="76" customHeight="1">
      <x:c r="A121" s="12" t="str">
        <x:v>FT-055</x:v>
      </x:c>
      <x:c r="B121" s="12" t="str">
        <x:v>功能合同</x:v>
      </x:c>
      <x:c r="C121" s="12" t="str">
        <x:v>主题定向采集与列表分页策略</x:v>
      </x:c>
      <x:c r="D121" s="12" t="str">
        <x:v>CRAWL-02</x:v>
      </x:c>
      <x:c r="E121" s="12" t="str">
        <x:v>M5</x:v>
      </x:c>
      <x:c r="F121" s="12" t="str">
        <x:v>主题、字段目标、候选链接</x:v>
      </x:c>
      <x:c r="G121" s="12" t="str">
        <x:v>优先级不能突破scope/robots/预算；停止条件可解释；不自发整网遍历。</x:v>
      </x:c>
      <x:c r="H121" s="24" t="str">
        <x:v>未执行</x:v>
      </x:c>
    </x:row>
    <x:row r="122" ht="76" customHeight="1">
      <x:c r="A122" s="12" t="str">
        <x:v>FT-056</x:v>
      </x:c>
      <x:c r="B122" s="12" t="str">
        <x:v>功能合同</x:v>
      </x:c>
      <x:c r="C122" s="12" t="str">
        <x:v>代码与技术文档专门检索</x:v>
      </x:c>
      <x:c r="D122" s="12" t="str">
        <x:v>CODE-01</x:v>
      </x:c>
      <x:c r="E122" s="12" t="str">
        <x:v>M5</x:v>
      </x:c>
      <x:c r="F122" s="12" t="str">
        <x:v>授权仓库/源码/技术文档</x:v>
      </x:c>
      <x:c r="G122" s="12" t="str">
        <x:v>函数符号/错误码/版本号可检索；同文件不同commit分开；无通用编译级语义保证。</x:v>
      </x:c>
      <x:c r="H122" s="24" t="str">
        <x:v>未执行</x:v>
      </x:c>
    </x:row>
    <x:row r="123" ht="76" customHeight="1">
      <x:c r="A123" s="12" t="str">
        <x:v>FT-057</x:v>
      </x:c>
      <x:c r="B123" s="12" t="str">
        <x:v>功能合同</x:v>
      </x:c>
      <x:c r="C123" s="12" t="str">
        <x:v>论文/数据集检索与标识消歧</x:v>
      </x:c>
      <x:c r="D123" s="12" t="str">
        <x:v>SCHOLAR-01</x:v>
      </x:c>
      <x:c r="E123" s="12" t="str">
        <x:v>M5</x:v>
      </x:c>
      <x:c r="F123" s="12" t="str">
        <x:v>已审核科研接口、DOI/arXiv标识</x:v>
      </x:c>
      <x:c r="G123" s="12" t="str">
        <x:v>元数据免费不伪称正文可读；DOI归一不混版本；没有来源支持时状态unknown。</x:v>
      </x:c>
      <x:c r="H123" s="24" t="str">
        <x:v>未执行</x:v>
      </x:c>
    </x:row>
    <x:row r="124" ht="76" customHeight="1">
      <x:c r="A124" s="12" t="str">
        <x:v>FT-058</x:v>
      </x:c>
      <x:c r="B124" s="12" t="str">
        <x:v>功能合同</x:v>
      </x:c>
      <x:c r="C124" s="12" t="str">
        <x:v>本地文件与授权私人资料导入</x:v>
      </x:c>
      <x:c r="D124" s="12" t="str">
        <x:v>PRIVATE-01</x:v>
      </x:c>
      <x:c r="E124" s="12" t="str">
        <x:v>M5</x:v>
      </x:c>
      <x:c r="F124" s="12" t="str">
        <x:v>授权文件/目录/连接器profile</x:v>
      </x:c>
      <x:c r="G124" s="12" t="str">
        <x:v>网页不能调用任意file://；文件移走/撤权触发删除；私有查询不自动外发。</x:v>
      </x:c>
      <x:c r="H124" s="24" t="str">
        <x:v>未执行</x:v>
      </x:c>
    </x:row>
    <x:row r="125" ht="76" customHeight="1">
      <x:c r="A125" s="12" t="str">
        <x:v>FT-059</x:v>
      </x:c>
      <x:c r="B125" s="12" t="str">
        <x:v>功能合同</x:v>
      </x:c>
      <x:c r="C125" s="12" t="str">
        <x:v>免费来源扩充与维护工作台</x:v>
      </x:c>
      <x:c r="D125" s="12" t="str">
        <x:v>SRC-06</x:v>
      </x:c>
      <x:c r="E125" s="12" t="str">
        <x:v>M5</x:v>
      </x:c>
      <x:c r="F125" s="12" t="str">
        <x:v>剩余去重候选、失败报告、审核记录</x:v>
      </x:c>
      <x:c r="G125" s="12" t="str">
        <x:v>新增源有可测增量或明确垂直价值；数量不替代质量；超出数量按单位适配工量另排。</x:v>
      </x:c>
      <x:c r="H125" s="24" t="str">
        <x:v>未执行</x:v>
      </x:c>
    </x:row>
    <x:row r="126" ht="76" customHeight="1">
      <x:c r="A126" s="12" t="str">
        <x:v>FT-060</x:v>
      </x:c>
      <x:c r="B126" s="12" t="str">
        <x:v>功能合同</x:v>
      </x:c>
      <x:c r="C126" s="12" t="str">
        <x:v>OCR、复杂版面与视觉辅助读取</x:v>
      </x:c>
      <x:c r="D126" s="12" t="str">
        <x:v>DOC-02</x:v>
      </x:c>
      <x:c r="E126" s="12" t="str">
        <x:v>M6</x:v>
      </x:c>
      <x:c r="F126" s="12" t="str">
        <x:v>无文字层/低质量页面、视觉或OCR配置</x:v>
      </x:c>
      <x:c r="G126" s="12" t="str">
        <x:v>OCR文本不冒充原生文字；定位回页面而非声称识别绝对正确；无收费OCR回退。</x:v>
      </x:c>
      <x:c r="H126" s="24" t="str">
        <x:v>未执行</x:v>
      </x:c>
    </x:row>
    <x:row r="127" ht="76" customHeight="1">
      <x:c r="A127" s="12" t="str">
        <x:v>FT-061</x:v>
      </x:c>
      <x:c r="B127" s="12" t="str">
        <x:v>功能合同</x:v>
      </x:c>
      <x:c r="C127" s="12" t="str">
        <x:v>图片检索与图片资产索引</x:v>
      </x:c>
      <x:c r="D127" s="12" t="str">
        <x:v>IMAGE-01</x:v>
      </x:c>
      <x:c r="E127" s="12" t="str">
        <x:v>M6</x:v>
      </x:c>
      <x:c r="F127" s="12" t="str">
        <x:v>免费图片来源/授权采集、查询</x:v>
      </x:c>
      <x:c r="G127" s="12" t="str">
        <x:v>缩略图不冒充原图；公开可见不等于可再分发；图片维度与类型校验。</x:v>
      </x:c>
      <x:c r="H127" s="24" t="str">
        <x:v>未执行</x:v>
      </x:c>
    </x:row>
    <x:row r="128" ht="76" customHeight="1">
      <x:c r="A128" s="12" t="str">
        <x:v>FT-062</x:v>
      </x:c>
      <x:c r="B128" s="12" t="str">
        <x:v>功能合同</x:v>
      </x:c>
      <x:c r="C128" s="12" t="str">
        <x:v>以图搜图、近重复与文本搜图</x:v>
      </x:c>
      <x:c r="D128" s="12" t="str">
        <x:v>IMAGE-02</x:v>
      </x:c>
      <x:c r="E128" s="12" t="str">
        <x:v>M6</x:v>
      </x:c>
      <x:c r="F128" s="12" t="str">
        <x:v>授权图片/URL/文本、local/external/both</x:v>
      </x:c>
      <x:c r="G128" s="12" t="str">
        <x:v>没有外部反向源时明确只搜自有图库；不把相似视为同一；不得暗传图片。</x:v>
      </x:c>
      <x:c r="H128" s="24" t="str">
        <x:v>未执行</x:v>
      </x:c>
    </x:row>
    <x:row r="129" ht="76" customHeight="1">
      <x:c r="A129" s="12" t="str">
        <x:v>FT-063</x:v>
      </x:c>
      <x:c r="B129" s="12" t="str">
        <x:v>功能合同</x:v>
      </x:c>
      <x:c r="C129" s="12" t="str">
        <x:v>视频音频搜索与字幕时间戳检索</x:v>
      </x:c>
      <x:c r="D129" s="12" t="str">
        <x:v>AV-01</x:v>
      </x:c>
      <x:c r="E129" s="12" t="str">
        <x:v>M6</x:v>
      </x:c>
      <x:c r="F129" s="12" t="str">
        <x:v>媒体来源、字幕、授权媒体文件</x:v>
      </x:c>
      <x:c r="G129" s="12" t="str">
        <x:v>找到视频不冒充已理解；时间戳命中可回放验证；无法获取媒体仍可返回链接元数据。</x:v>
      </x:c>
      <x:c r="H129" s="24" t="str">
        <x:v>未执行</x:v>
      </x:c>
    </x:row>
    <x:row r="130" ht="76" customHeight="1">
      <x:c r="A130" s="12" t="str">
        <x:v>FT-064</x:v>
      </x:c>
      <x:c r="B130" s="12" t="str">
        <x:v>功能合同</x:v>
      </x:c>
      <x:c r="C130" s="12" t="str">
        <x:v>转写、关键帧与视频内容理解</x:v>
      </x:c>
      <x:c r="D130" s="12" t="str">
        <x:v>AV-02</x:v>
      </x:c>
      <x:c r="E130" s="12" t="str">
        <x:v>M6</x:v>
      </x:c>
      <x:c r="F130" s="12" t="str">
        <x:v>授权媒体、ASR/vision配置和时长预算</x:v>
      </x:c>
      <x:c r="G130" s="12" t="str">
        <x:v>转写与原字幕分开；视频采样不能声称每帧检查；长媒体有时长/显存/资源限额；无模型则能力缺失。</x:v>
      </x:c>
      <x:c r="H130" s="24" t="str">
        <x:v>未执行</x:v>
      </x:c>
    </x:row>
    <x:row r="131" ht="76" customHeight="1">
      <x:c r="A131" s="12" t="str">
        <x:v>FT-065</x:v>
      </x:c>
      <x:c r="B131" s="12" t="str">
        <x:v>功能合同</x:v>
      </x:c>
      <x:c r="C131" s="12" t="str">
        <x:v>网页快照变化与增量刷新</x:v>
      </x:c>
      <x:c r="D131" s="12" t="str">
        <x:v>UPDATE-01</x:v>
      </x:c>
      <x:c r="E131" s="12" t="str">
        <x:v>M7</x:v>
      </x:c>
      <x:c r="F131" s="12" t="str">
        <x:v>已保存集合、刷新条件</x:v>
      </x:c>
      <x:c r="G131" s="12" t="str">
        <x:v>超时/403不当删除；304仅更新checked_at；改变解析器不伪称网页改动。</x:v>
      </x:c>
      <x:c r="H131" s="24" t="str">
        <x:v>未执行</x:v>
      </x:c>
    </x:row>
    <x:row r="132" ht="76" customHeight="1">
      <x:c r="A132" s="12" t="str">
        <x:v>FT-066</x:v>
      </x:c>
      <x:c r="B132" s="12" t="str">
        <x:v>功能合同</x:v>
      </x:c>
      <x:c r="C132" s="12" t="str">
        <x:v>历史、收藏、标签与搜索工作区</x:v>
      </x:c>
      <x:c r="D132" s="12" t="str">
        <x:v>WORKSPACE-01</x:v>
      </x:c>
      <x:c r="E132" s="12" t="str">
        <x:v>M7</x:v>
      </x:c>
      <x:c r="F132" s="12" t="str">
        <x:v>搜索会话、选中结果、备注</x:v>
      </x:c>
      <x:c r="G132" s="12" t="str">
        <x:v>收藏不自动授权永久保存正文；删除历史不删用户另存集合；共享不越权。</x:v>
      </x:c>
      <x:c r="H132" s="24" t="str">
        <x:v>未执行</x:v>
      </x:c>
    </x:row>
    <x:row r="133" ht="76" customHeight="1">
      <x:c r="A133" s="12" t="str">
        <x:v>FT-067</x:v>
      </x:c>
      <x:c r="B133" s="12" t="str">
        <x:v>功能合同</x:v>
      </x:c>
      <x:c r="C133" s="12" t="str">
        <x:v>排序偏好、站点屏蔽与隐私开关</x:v>
      </x:c>
      <x:c r="D133" s="12" t="str">
        <x:v>PREF-01</x:v>
      </x:c>
      <x:c r="E133" s="12" t="str">
        <x:v>M7</x:v>
      </x:c>
      <x:c r="F133" s="12" t="str">
        <x:v>显式站点/语言/时间偏好</x:v>
      </x:c>
      <x:c r="G133" s="12" t="str">
        <x:v>硬条件优先；切换偏好形成新结果版本；关闭个性化恢复基线。</x:v>
      </x:c>
      <x:c r="H133" s="24" t="str">
        <x:v>未执行</x:v>
      </x:c>
    </x:row>
    <x:row r="134" ht="76" customHeight="1">
      <x:c r="A134" s="12" t="str">
        <x:v>FT-068</x:v>
      </x:c>
      <x:c r="B134" s="12" t="str">
        <x:v>功能合同</x:v>
      </x:c>
      <x:c r="C134" s="12" t="str">
        <x:v>保存查询、订阅新增与更新监控</x:v>
      </x:c>
      <x:c r="D134" s="12" t="str">
        <x:v>WATCH-01</x:v>
      </x:c>
      <x:c r="E134" s="12" t="str">
        <x:v>M7</x:v>
      </x:c>
      <x:c r="F134" s="12" t="str">
        <x:v>查询/集合、时区、周期、变化条件</x:v>
      </x:c>
      <x:c r="G134" s="12" t="str">
        <x:v>停机补跑有catch-up上限；时区/DST行为明确；只通知新增或新满足条件；不借监控绕过上游限流。 两源一成一败后恢复不漏失败源内容；重试通知沿用event_id；不保证外部收件方恰好一次。</x:v>
      </x:c>
      <x:c r="H134" s="24" t="str">
        <x:v>未执行</x:v>
      </x:c>
    </x:row>
    <x:row r="135" ht="76" customHeight="1">
      <x:c r="A135" s="12" t="str">
        <x:v>FT-069</x:v>
      </x:c>
      <x:c r="B135" s="12" t="str">
        <x:v>功能合同</x:v>
      </x:c>
      <x:c r="C135" s="12" t="str">
        <x:v>搜索结果、证据与资料集导出</x:v>
      </x:c>
      <x:c r="D135" s="12" t="str">
        <x:v>EXPORT-01</x:v>
      </x:c>
      <x:c r="E135" s="12" t="str">
        <x:v>M7</x:v>
      </x:c>
      <x:c r="F135" s="12" t="str">
        <x:v>结果/集合、格式、授权范围</x:v>
      </x:c>
      <x:c r="G135" s="12" t="str">
        <x:v>导出时再次鉴权；不泄露Cookie/密钥；导出引用可定位；删除撤权后的旧导出按保留策略失效。</x:v>
      </x:c>
      <x:c r="H135" s="24" t="str">
        <x:v>未执行</x:v>
      </x:c>
    </x:row>
    <x:row r="136" ht="76" customHeight="1">
      <x:c r="A136" s="12" t="str">
        <x:v>FT-070</x:v>
      </x:c>
      <x:c r="B136" s="12" t="str">
        <x:v>功能合同</x:v>
      </x:c>
      <x:c r="C136" s="12" t="str">
        <x:v>通知出口与Webhook</x:v>
      </x:c>
      <x:c r="D136" s="12" t="str">
        <x:v>WEBHOOK-01</x:v>
      </x:c>
      <x:c r="E136" s="12" t="str">
        <x:v>M7</x:v>
      </x:c>
      <x:c r="F136" s="12" t="str">
        <x:v>管理员批准的通知目标</x:v>
      </x:c>
      <x:c r="G136" s="12" t="str">
        <x:v>DNS变化与重定向同样检查；payload不包含未授权正文；失败不重复计一次新事件。</x:v>
      </x:c>
      <x:c r="H136" s="24" t="str">
        <x:v>未执行</x:v>
      </x:c>
    </x:row>
    <x:row r="137" ht="76" customHeight="1">
      <x:c r="A137" s="12" t="str">
        <x:v>FT-071</x:v>
      </x:c>
      <x:c r="B137" s="12" t="str">
        <x:v>功能合同</x:v>
      </x:c>
      <x:c r="C137" s="12" t="str">
        <x:v>完整协议覆盖、版本迁移与扩展接口收尾</x:v>
      </x:c>
      <x:c r="D137" s="12" t="str">
        <x:v>API-01</x:v>
      </x:c>
      <x:c r="E137" s="12" t="str">
        <x:v>M7</x:v>
      </x:c>
      <x:c r="F137" s="12" t="str">
        <x:v>统一业务合同、客户端能力</x:v>
      </x:c>
      <x:c r="G137" s="12" t="str">
        <x:v>CLI/HTTP/MCP同请求结果语义一致；原生插件视为可信代码；不为每个协议实现一套逻辑。 跨协议完成矩阵逐项对照已实现功能；旧版本兼容与故意非法请求有回归。</x:v>
      </x:c>
      <x:c r="H137" s="24" t="str">
        <x:v>未执行</x:v>
      </x:c>
    </x:row>
    <x:row r="138" ht="76" customHeight="1">
      <x:c r="A138" s="12" t="str">
        <x:v>FT-072</x:v>
      </x:c>
      <x:c r="B138" s="12" t="str">
        <x:v>功能合同</x:v>
      </x:c>
      <x:c r="C138" s="12" t="str">
        <x:v>完整搜索/资料/爬虫/研究操作台</x:v>
      </x:c>
      <x:c r="D138" s="12" t="str">
        <x:v>UI-02</x:v>
      </x:c>
      <x:c r="E138" s="12" t="str">
        <x:v>M7</x:v>
      </x:c>
      <x:c r="F138" s="12" t="str">
        <x:v>全部已实现业务能力</x:v>
      </x:c>
      <x:c r="G138" s="12" t="str">
        <x:v>在慢源/错误/部分结果下仍可操作；所有功能有空态与错误态；无只好看不可用入口。</x:v>
      </x:c>
      <x:c r="H138" s="24" t="str">
        <x:v>未执行</x:v>
      </x:c>
    </x:row>
    <x:row r="139" ht="76" customHeight="1">
      <x:c r="A139" s="12" t="str">
        <x:v>FT-073</x:v>
      </x:c>
      <x:c r="B139" s="12" t="str">
        <x:v>功能合同</x:v>
      </x:c>
      <x:c r="C139" s="12" t="str">
        <x:v>观测、诊断与资源容量基线</x:v>
      </x:c>
      <x:c r="D139" s="12" t="str">
        <x:v>OPS-01</x:v>
      </x:c>
      <x:c r="E139" s="12" t="str">
        <x:v>M8</x:v>
      </x:c>
      <x:c r="F139" s="12" t="str">
        <x:v>事件/指标/机器基线</x:v>
      </x:c>
      <x:c r="G139" s="12" t="str">
        <x:v>性能分冷热缓存/页面类别/模型条件；不以框架宣传QPS当产品指标。 原始测量绑定commit/机器/负载/模型配置；无URL或query高基数标签。</x:v>
      </x:c>
      <x:c r="H139" s="24" t="str">
        <x:v>未执行</x:v>
      </x:c>
    </x:row>
    <x:row r="140" ht="76" customHeight="1">
      <x:c r="A140" s="12" t="str">
        <x:v>FT-074</x:v>
      </x:c>
      <x:c r="B140" s="12" t="str">
        <x:v>功能合同</x:v>
      </x:c>
      <x:c r="C140" s="12" t="str">
        <x:v>备份恢复、迁移与内容保留</x:v>
      </x:c>
      <x:c r="D140" s="12" t="str">
        <x:v>OPS-02</x:v>
      </x:c>
      <x:c r="E140" s="12" t="str">
        <x:v>M8</x:v>
      </x:c>
      <x:c r="F140" s="12" t="str">
        <x:v>元数据/快照/索引/删除日志</x:v>
      </x:c>
      <x:c r="G140" s="12" t="str">
        <x:v>不是直接复制运行中的DB文件；恢复后权限/删除仍有效；坏索引可独立重建。 恢复副本验证最新撤销水位后才能退出隔离；测试新旧Schema/FTS/向量重建。</x:v>
      </x:c>
      <x:c r="H140" s="24" t="str">
        <x:v>未执行</x:v>
      </x:c>
    </x:row>
    <x:row r="141" ht="76" customHeight="1">
      <x:c r="A141" s="12" t="str">
        <x:v>FT-075</x:v>
      </x:c>
      <x:c r="B141" s="12" t="str">
        <x:v>功能合同</x:v>
      </x:c>
      <x:c r="C141" s="12" t="str">
        <x:v>多工作节点与公平调度</x:v>
      </x:c>
      <x:c r="D141" s="12" t="str">
        <x:v>SCALE-01</x:v>
      </x:c>
      <x:c r="E141" s="12" t="str">
        <x:v>M8</x:v>
      </x:c>
      <x:c r="F141" s="12" t="str">
        <x:v>多节点、租户配额、共享任务协调</x:v>
      </x:c>
      <x:c r="G141" s="12" t="str">
        <x:v>失联节点不可继续提交；跨节点同源配额有效；多租户公平；不得把WAL放网络盘。</x:v>
      </x:c>
      <x:c r="H141" s="24" t="str">
        <x:v>未执行</x:v>
      </x:c>
    </x:row>
    <x:row r="142" ht="76" customHeight="1">
      <x:c r="A142" s="12" t="str">
        <x:v>FT-076</x:v>
      </x:c>
      <x:c r="B142" s="12" t="str">
        <x:v>功能合同</x:v>
      </x:c>
      <x:c r="C142" s="12" t="str">
        <x:v>安全/故障/多模态/端到端发布门禁</x:v>
      </x:c>
      <x:c r="D142" s="12" t="str">
        <x:v>QA-03</x:v>
      </x:c>
      <x:c r="E142" s="12" t="str">
        <x:v>M8</x:v>
      </x:c>
      <x:c r="F142" s="12" t="str">
        <x:v>完整功能样例、基准、安全与混沌用例</x:v>
      </x:c>
      <x:c r="G142" s="12" t="str">
        <x:v>安全/权限/约束/quote错误为阻断；多媒体和Windows不只跑空壳构建；报告风险与覆盖缺口。</x:v>
      </x:c>
      <x:c r="H142" s="24" t="str">
        <x:v>未执行</x:v>
      </x:c>
    </x:row>
    <x:row r="143" ht="76" customHeight="1">
      <x:c r="A143" s="12" t="str">
        <x:v>FT-077</x:v>
      </x:c>
      <x:c r="B143" s="12" t="str">
        <x:v>功能合同</x:v>
      </x:c>
      <x:c r="C143" s="12" t="str">
        <x:v>可复现打包、升级与运维手册</x:v>
      </x:c>
      <x:c r="D143" s="12" t="str">
        <x:v>RELEASE-01</x:v>
      </x:c>
      <x:c r="E143" s="12" t="str">
        <x:v>M8</x:v>
      </x:c>
      <x:c r="F143" s="12" t="str">
        <x:v>构建产物、锁文件、SBOM、配置模板</x:v>
      </x:c>
      <x:c r="G143" s="12" t="str">
        <x:v>干净环境能按文档启动；旧数据升级/回滚演练；全部能力有任务映射及已实现清单。</x:v>
      </x:c>
      <x:c r="H143" s="24" t="str">
        <x:v>未执行</x:v>
      </x:c>
    </x:row>
    <x:row r="144" ht="76" customHeight="1">
      <x:c r="A144" s="36" t="str">
        <x:v>FT-078</x:v>
      </x:c>
      <x:c r="B144" s="36" t="str">
        <x:v>功能合同</x:v>
      </x:c>
      <x:c r="C144" s="36" t="str">
        <x:v>基础HTTP/CLI/MCP合同与早期集成</x:v>
      </x:c>
      <x:c r="D144" s="36" t="str">
        <x:v>API-00</x:v>
      </x:c>
      <x:c r="E144" s="36" t="str">
        <x:v>M1</x:v>
      </x:c>
      <x:c r="F144" s="36" t="str">
        <x:v>依据该功能输入与实现规则构造正常、边界与失败fixture</x:v>
      </x:c>
      <x:c r="G144" s="36" t="str">
        <x:v>同一授权请求在HTTP/CLI/MCP经过同一核心；无媒体验收依赖；能力未实现或禁用时明确返回不可用。</x:v>
      </x:c>
      <x:c r="H144" s="36" t="str">
        <x:v>未执行</x:v>
      </x:c>
    </x:row>
    <x:row r="145" ht="76" customHeight="1">
      <x:c r="A145" s="36" t="str">
        <x:v>FT-079</x:v>
      </x:c>
      <x:c r="B145" s="36" t="str">
        <x:v>功能合同</x:v>
      </x:c>
      <x:c r="C145" s="36" t="str">
        <x:v>早期追踪、资源账本与诊断底座</x:v>
      </x:c>
      <x:c r="D145" s="36" t="str">
        <x:v>OPS-00</x:v>
      </x:c>
      <x:c r="E145" s="36" t="str">
        <x:v>M0</x:v>
      </x:c>
      <x:c r="F145" s="36" t="str">
        <x:v>依据该功能输入与实现规则构造正常、边界与失败fixture</x:v>
      </x:c>
      <x:c r="G145" s="36" t="str">
        <x:v>单请求可串联授权/调度/获取/提交；超时和重试可解释；日志无密钥；指标样例的资源计数一致。</x:v>
      </x:c>
      <x:c r="H145" s="36" t="str">
        <x:v>未执行</x:v>
      </x:c>
    </x:row>
    <x:row r="146" ht="76" customHeight="1">
      <x:c r="A146" s="36" t="str">
        <x:v>FT-080</x:v>
      </x:c>
      <x:c r="B146" s="36" t="str">
        <x:v>功能合同</x:v>
      </x:c>
      <x:c r="C146" s="36" t="str">
        <x:v>早期一致备份、恢复隔离与撤销水位</x:v>
      </x:c>
      <x:c r="D146" s="36" t="str">
        <x:v>BACKUP-00</x:v>
      </x:c>
      <x:c r="E146" s="36" t="str">
        <x:v>M0</x:v>
      </x:c>
      <x:c r="F146" s="36" t="str">
        <x:v>依据该功能输入与实现规则构造正常、边界与失败fixture</x:v>
      </x:c>
      <x:c r="G146" s="36" t="str">
        <x:v>M0恢复固定资料与任务；M2补FTS回放；M4补向量重建。删除前备份恢复后不能复活删除内容；撤销日志不可验证时保持隔离。</x:v>
      </x:c>
      <x:c r="H146" s="36" t="str">
        <x:v>未执行</x:v>
      </x:c>
    </x:row>
    <x:row r="147" ht="76" customHeight="1">
      <x:c r="A147" s="36" t="str">
        <x:v>FT-081</x:v>
      </x:c>
      <x:c r="B147" s="36" t="str">
        <x:v>功能合同</x:v>
      </x:c>
      <x:c r="C147" s="36" t="str">
        <x:v>爬虫准入与robots前置策略</x:v>
      </x:c>
      <x:c r="D147" s="36" t="str">
        <x:v>ROBOTS-01</x:v>
      </x:c>
      <x:c r="E147" s="36" t="str">
        <x:v>M1</x:v>
      </x:c>
      <x:c r="F147" s="36" t="str">
        <x:v>依据该功能输入与实现规则构造正常、边界与失败fixture</x:v>
      </x:c>
      <x:c r="G147" s="36" t="str">
        <x:v>未取得有效准入前不得发爬虫内容请求；robots访问本身受网络/总预算控制；网络或服务器不可达且无适用缓存时不放行。</x:v>
      </x:c>
      <x:c r="H147" s="36" t="str">
        <x:v>未执行</x:v>
      </x:c>
    </x:row>
    <x:row r="148" ht="76" customHeight="1">
      <x:c r="A148" s="36" t="str">
        <x:v>FT-082</x:v>
      </x:c>
      <x:c r="B148" s="36" t="str">
        <x:v>功能合同</x:v>
      </x:c>
      <x:c r="C148" s="36" t="str">
        <x:v>关键技术可行性与版本冻结验证</x:v>
      </x:c>
      <x:c r="D148" s="36" t="str">
        <x:v>SPIKE-01</x:v>
      </x:c>
      <x:c r="E148" s="36" t="str">
        <x:v>M0</x:v>
      </x:c>
      <x:c r="F148" s="36" t="str">
        <x:v>依据该功能输入与实现规则构造正常、边界与失败fixture</x:v>
      </x:c>
      <x:c r="G148" s="36" t="str">
        <x:v>记录输入/环境/版本/步骤/失败；浏览器Windows隔离若未通过可继续无网与其他已验证能力，不得宣布Windows全功能通过。</x:v>
      </x:c>
      <x:c r="H148" s="36" t="str">
        <x:v>未执行</x:v>
      </x:c>
    </x:row>
    <x:row r="149" ht="76" customHeight="1">
      <x:c r="A149" s="36" t="str">
        <x:v>FT-083</x:v>
      </x:c>
      <x:c r="B149" s="36" t="str">
        <x:v>功能合同</x:v>
      </x:c>
      <x:c r="C149" s="36" t="str">
        <x:v>可执行配置合同、默认值与负例校验</x:v>
      </x:c>
      <x:c r="D149" s="36" t="str">
        <x:v>CONTRACT-02</x:v>
      </x:c>
      <x:c r="E149" s="36" t="str">
        <x:v>M0</x:v>
      </x:c>
      <x:c r="F149" s="36" t="str">
        <x:v>依据该功能输入与实现规则构造正常、边界与失败fixture</x:v>
      </x:c>
      <x:c r="G149" s="36" t="str">
        <x:v>Python合同样例只作fixture；正式C++实现要通过同一测试向量。无模型配置、角色并发、无效日期、坏profile、深AST均有正负例。</x:v>
      </x:c>
      <x:c r="H149" s="36" t="str">
        <x:v>未执行</x:v>
      </x:c>
    </x:row>
    <x:row r="150" ht="76" customHeight="1">
      <x:c r="A150" s="36" t="str">
        <x:v>C-01</x:v>
      </x:c>
      <x:c r="B150" s="36" t="str">
        <x:v>复核回归</x:v>
      </x:c>
      <x:c r="C150" s="36" t="str">
        <x:v>早期协议集成没有独立交付包</x:v>
      </x:c>
      <x:c r="D150" s="36" t="str">
        <x:v>API-00 API-01 UI-01</x:v>
      </x:c>
      <x:c r="E150" s="36" t="str">
        <x:v>M1→M7（分层）</x:v>
      </x:c>
      <x:c r="F150" s="36" t="str">
        <x:v>API-01在M7依赖RESEARCH/IMAGE/AV/EXPORT；CORE仅有空壳，M1跨协议一致性无独立验收。</x:v>
      </x:c>
      <x:c r="G150" s="36" t="str">
        <x:v>新增API-00，API-01减量改为全覆盖收尾。</x:v>
      </x:c>
      <x:c r="H150" s="36" t="str">
        <x:v>未执行</x:v>
      </x:c>
    </x:row>
    <x:row r="151" ht="76" customHeight="1">
      <x:c r="A151" s="36" t="str">
        <x:v>C-02</x:v>
      </x:c>
      <x:c r="B151" s="36" t="str">
        <x:v>复核回归</x:v>
      </x:c>
      <x:c r="C151" s="36" t="str">
        <x:v>robots在依赖图中晚于递归爬虫</x:v>
      </x:c>
      <x:c r="D151" s="36" t="str">
        <x:v>ROBOTS-01 CRAWL-01 CRAWL-03</x:v>
      </x:c>
      <x:c r="E151" s="36" t="str">
        <x:v>M1→M2（分层）</x:v>
      </x:c>
      <x:c r="F151" s="36" t="str">
        <x:v>CRAWL-03负责robots但依赖CRAWL-01，递归请求准入与交付顺序倒置。</x:v>
      </x:c>
      <x:c r="G151" s="36" t="str">
        <x:v>拆出ROBOTS-01作为CRAWL-01前置；noindex/nosnippet继续在CRAWL-03。</x:v>
      </x:c>
      <x:c r="H151" s="36" t="str">
        <x:v>未执行</x:v>
      </x:c>
    </x:row>
    <x:row r="152" ht="76" customHeight="1">
      <x:c r="A152" s="36" t="str">
        <x:v>C-03</x:v>
      </x:c>
      <x:c r="B152" s="36" t="str">
        <x:v>复核回归</x:v>
      </x:c>
      <x:c r="C152" s="36" t="str">
        <x:v>观测和备份排到M8才交付</x:v>
      </x:c>
      <x:c r="D152" s="36" t="str">
        <x:v>OPS-00 BACKUP-00 OPS-01 OPS-02</x:v>
      </x:c>
      <x:c r="E152" s="36" t="str">
        <x:v>M0→M8（分层）</x:v>
      </x:c>
      <x:c r="F152" s="36" t="str">
        <x:v>OPS-01依赖完整UI，OPS-02依赖订阅；基础恢复和容量诊断需要更早。</x:v>
      </x:c>
      <x:c r="G152" s="36" t="str">
        <x:v>新增OPS-00/BACKUP-00，原包减量保留最终演练。</x:v>
      </x:c>
      <x:c r="H152" s="36" t="str">
        <x:v>未执行</x:v>
      </x:c>
    </x:row>
    <x:row r="153" ht="76" customHeight="1">
      <x:c r="A153" s="36" t="str">
        <x:v>C-04</x:v>
      </x:c>
      <x:c r="B153" s="36" t="str">
        <x:v>复核回归</x:v>
      </x:c>
      <x:c r="C153" s="36" t="str">
        <x:v>无模型配置与基础运行承诺矛盾</x:v>
      </x:c>
      <x:c r="D153" s="36" t="str">
        <x:v>MODEL-01 CONTRACT-02</x:v>
      </x:c>
      <x:c r="E153" s="36" t="str">
        <x:v>M0→M4（分层）</x:v>
      </x:c>
      <x:c r="F153" s="36" t="str">
        <x:v>model-config要求非空default_text_profile、至少一个profile与四个角色；无模型部署被Schema拒绝。</x:v>
      </x:c>
      <x:c r="G153" s="36" t="str">
        <x:v>允许空profile集合/null默认；模型增强能力单独禁用。</x:v>
      </x:c>
      <x:c r="H153" s="36" t="str">
        <x:v>未执行</x:v>
      </x:c>
    </x:row>
    <x:row r="154" ht="76" customHeight="1">
      <x:c r="A154" s="36" t="str">
        <x:v>C-05</x:v>
      </x:c>
      <x:c r="B154" s="36" t="str">
        <x:v>复核回归</x:v>
      </x:c>
      <x:c r="C154" s="36" t="str">
        <x:v>请求语义校验仍只有文字约定</x:v>
      </x:c>
      <x:c r="D154" s="36" t="str">
        <x:v>QRY-01 CONTRACT-02</x:v>
      </x:c>
      <x:c r="E154" s="36" t="str">
        <x:v>M0→M1（分层）</x:v>
      </x:c>
      <x:c r="F154" s="36" t="str">
        <x:v>host+after等结构可过Schema；文档已说明需要程序检查，但交付无可执行合同向量。</x:v>
      </x:c>
      <x:c r="G154" s="36" t="str">
        <x:v>加强字段/操作符/时间结构，补复杂度/离线冲突语义验证器与负例。</x:v>
      </x:c>
      <x:c r="H154" s="36" t="str">
        <x:v>未执行</x:v>
      </x:c>
    </x:row>
    <x:row r="155" ht="76" customHeight="1">
      <x:c r="A155" s="36" t="str">
        <x:v>C-06</x:v>
      </x:c>
      <x:c r="B155" s="36" t="str">
        <x:v>复核回归</x:v>
      </x:c>
      <x:c r="C155" s="36" t="str">
        <x:v>角色继承、并发与默认值未闭合</x:v>
      </x:c>
      <x:c r="D155" s="36" t="str">
        <x:v>MODEL-01 MODEL-02 SRC-01 CONTRACT-02</x:v>
      </x:c>
      <x:c r="E155" s="36" t="str">
        <x:v>M0→M4（分层）</x:v>
      </x:c>
      <x:c r="F155" s="36" t="str">
        <x:v>角色覆盖只含部分字段，profile必填；default注解不能自动生成实际配置；来源审核日期未限定格式。</x:v>
      </x:c>
      <x:c r="G155" s="36" t="str">
        <x:v>统一角色覆盖对象、明确缺省/null、格式校验与source审核到期语义。</x:v>
      </x:c>
      <x:c r="H155" s="36" t="str">
        <x:v>未执行</x:v>
      </x:c>
    </x:row>
    <x:row r="156" ht="76" customHeight="1">
      <x:c r="A156" s="36" t="str">
        <x:v>C-07</x:v>
      </x:c>
      <x:c r="B156" s="36" t="str">
        <x:v>复核回归</x:v>
      </x:c>
      <x:c r="C156" s="36" t="str">
        <x:v>unknown来源桶与证据独立性容易混用</x:v>
      </x:c>
      <x:c r="D156" s="36" t="str">
        <x:v>SEARCH-03 RANK-02</x:v>
      </x:c>
      <x:c r="E156" s="36" t="str">
        <x:v>M1→M3（分层）</x:v>
      </x:c>
      <x:c r="F156" s="36" t="str">
        <x:v>索引族允许unknown；RRF说明没有给未知服务稳定的分组身份。</x:v>
      </x:c>
      <x:c r="G156" s="36" t="str">
        <x:v>保留RRF，补稳定服务贡献桶；不把所有unknown合并，也不声明未知来源独立。</x:v>
      </x:c>
      <x:c r="H156" s="36" t="str">
        <x:v>未执行</x:v>
      </x:c>
    </x:row>
    <x:row r="157" ht="76" customHeight="1">
      <x:c r="A157" s="36" t="str">
        <x:v>C-08</x:v>
      </x:c>
      <x:c r="B157" s="36" t="str">
        <x:v>复核回归</x:v>
      </x:c>
      <x:c r="C157" s="36" t="str">
        <x:v>向量索引在线更新缺少并发合同</x:v>
      </x:c>
      <x:c r="D157" s="36" t="str">
        <x:v>INDEX-02 INDEX-03</x:v>
      </x:c>
      <x:c r="E157" s="36" t="str">
        <x:v>M2→M4（分层）</x:v>
      </x:c>
      <x:c r="F157" s="36" t="str">
        <x:v>计划有异步写入/查询/重建，但未约束同一HNSW实例并发访问与发布切换。</x:v>
      </x:c>
      <x:c r="G157" s="36" t="str">
        <x:v>保留hnswlib候选；应用锁/单writer/代际切换/水位与版本准入；不立即改成重型数据库。</x:v>
      </x:c>
      <x:c r="H157" s="36" t="str">
        <x:v>未执行</x:v>
      </x:c>
    </x:row>
    <x:row r="158" ht="76" customHeight="1">
      <x:c r="A158" s="36" t="str">
        <x:v>C-09</x:v>
      </x:c>
      <x:c r="B158" s="36" t="str">
        <x:v>复核回归</x:v>
      </x:c>
      <x:c r="C158" s="36" t="str">
        <x:v>高风险技术验证没有可交付工作包</x:v>
      </x:c>
      <x:c r="D158" s="36" t="str">
        <x:v>SPIKE-01 READ-02 DOC-01 INDEX-01</x:v>
      </x:c>
      <x:c r="E158" s="36" t="str">
        <x:v>M0→M2（分层）</x:v>
      </x:c>
      <x:c r="F158" s="36" t="str">
        <x:v>CDP跨平台隔离、中文FTS映射、PDF构建仅在文字里提到spike。</x:v>
      </x:c>
      <x:c r="G158" s="36" t="str">
        <x:v>新增SPIKE-01并设前置依赖与ADR退出条件。</x:v>
      </x:c>
      <x:c r="H158" s="36" t="str">
        <x:v>未执行</x:v>
      </x:c>
    </x:row>
    <x:row r="159" ht="76" customHeight="1">
      <x:c r="A159" s="36" t="str">
        <x:v>C-10</x:v>
      </x:c>
      <x:c r="B159" s="36" t="str">
        <x:v>复核回归</x:v>
      </x:c>
      <x:c r="C159" s="36" t="str">
        <x:v>来源数量门禁不能证明通用网页能力</x:v>
      </x:c>
      <x:c r="D159" s="36" t="str">
        <x:v>SRC-04</x:v>
      </x:c>
      <x:c r="E159" s="36" t="str">
        <x:v>M1</x:v>
      </x:c>
      <x:c r="F159" s="36" t="str">
        <x:v>M1只要求3–5来源，可被全是学术/馆藏的来源满足。</x:v>
      </x:c>
      <x:c r="G159" s="36" t="str">
        <x:v>web上线必须至少一个真实审核web来源和固定查询报告；不足不签web Alpha。</x:v>
      </x:c>
      <x:c r="H159" s="36" t="str">
        <x:v>未执行</x:v>
      </x:c>
    </x:row>
    <x:row r="160" ht="76" customHeight="1">
      <x:c r="A160" s="36" t="str">
        <x:v>C-11</x:v>
      </x:c>
      <x:c r="B160" s="36" t="str">
        <x:v>复核回归</x:v>
      </x:c>
      <x:c r="C160" s="36" t="str">
        <x:v>从旧备份恢复的撤销水位来源不完整</x:v>
      </x:c>
      <x:c r="D160" s="36" t="str">
        <x:v>BACKUP-00 AUTH-01 OPS-02</x:v>
      </x:c>
      <x:c r="E160" s="36" t="str">
        <x:v>M0→M8（分层）</x:v>
      </x:c>
      <x:c r="F160" s="36" t="str">
        <x:v>要求重放最新tombstone，但若日志和DB一起回滚则无法证明最新性。</x:v>
      </x:c>
      <x:c r="G160" s="36" t="str">
        <x:v>独立保护的撤销journal+水位；恢复隔离，不能验证则fail-closed。</x:v>
      </x:c>
      <x:c r="H160" s="36" t="str">
        <x:v>未执行</x:v>
      </x:c>
    </x:row>
    <x:row r="161" ht="76" customHeight="1">
      <x:c r="A161" s="36" t="str">
        <x:v>C-12</x:v>
      </x:c>
      <x:c r="B161" s="36" t="str">
        <x:v>复核回归</x:v>
      </x:c>
      <x:c r="C161" s="36" t="str">
        <x:v>多来源订阅需要分源推进与交付事务</x:v>
      </x:c>
      <x:c r="D161" s="36" t="str">
        <x:v>WATCH-01 WEBHOOK-01</x:v>
      </x:c>
      <x:c r="E161" s="36" t="str">
        <x:v>M7</x:v>
      </x:c>
      <x:c r="F161" s="36" t="str">
        <x:v>当前成功水位没有足够明确地拆source；一次部分失败可能阻塞或漏扫。</x:v>
      </x:c>
      <x:c r="G161" s="36" t="str">
        <x:v>分源checkpoint、重叠扫描、outbox、event_id去重和交付状态。</x:v>
      </x:c>
      <x:c r="H161" s="36" t="str">
        <x:v>未执行</x:v>
      </x:c>
    </x:row>
    <x:row r="162" ht="76" customHeight="1">
      <x:c r="A162" s="36" t="str">
        <x:v>C-13</x:v>
      </x:c>
      <x:c r="B162" s="36" t="str">
        <x:v>复核回归</x:v>
      </x:c>
      <x:c r="C162" s="36" t="str">
        <x:v>依赖无环不等于依赖完整</x:v>
      </x:c>
      <x:c r="D162" s="36" t="str">
        <x:v>JOB-01 EVID-01 SEARCH-01</x:v>
      </x:c>
      <x:c r="E162" s="36" t="str">
        <x:v>M0→M4（分层）</x:v>
      </x:c>
      <x:c r="F162" s="36" t="str">
        <x:v>JOB仅依赖CONTRACT，持久化/授权并未成为前置；基础Highlights不必被模型阻塞。</x:v>
      </x:c>
      <x:c r="G162" s="36" t="str">
        <x:v>补STORE/AUTH/QA依赖；移除EVID基础对MODEL的硬依赖，增强路径仍单验。</x:v>
      </x:c>
      <x:c r="H162" s="36" t="str">
        <x:v>未执行</x:v>
      </x:c>
    </x:row>
    <x:row r="163" ht="76" customHeight="1">
      <x:c r="A163" s="36" t="str">
        <x:v>C-14</x:v>
      </x:c>
      <x:c r="B163" s="36" t="str">
        <x:v>复核回归</x:v>
      </x:c>
      <x:c r="C163" s="36" t="str">
        <x:v>质量门禁需要冻结过程而非待定承诺</x:v>
      </x:c>
      <x:c r="D163" s="36" t="str">
        <x:v>QA-02 SPIKE-01</x:v>
      </x:c>
      <x:c r="E163" s="36" t="str">
        <x:v>M0→M3（分层）</x:v>
      </x:c>
      <x:c r="F163" s="36" t="str">
        <x:v>计划列指标但环境、阈值和留出集冻结的责任/阻断规则不够明确。</x:v>
      </x:c>
      <x:c r="G163" s="36" t="str">
        <x:v>设G0基线与逐阶段门禁文件；未知阈值不得标通过，保留覆盖率与弃答率。</x:v>
      </x:c>
      <x:c r="H163" s="36" t="str">
        <x:v>未执行</x:v>
      </x:c>
    </x:row>
    <x:row r="164" ht="76" customHeight="1">
      <x:c r="A164" s="36" t="str">
        <x:v>C-15</x:v>
      </x:c>
      <x:c r="B164" s="36" t="str">
        <x:v>复核回归</x:v>
      </x:c>
      <x:c r="C164" s="36" t="str">
        <x:v>任务预算不能代替总存储与回压</x:v>
      </x:c>
      <x:c r="D164" s="36" t="str">
        <x:v>STORE-01 JOB-01 CACHE-01</x:v>
      </x:c>
      <x:c r="E164" s="36" t="str">
        <x:v>M0→M2（分层）</x:v>
      </x:c>
      <x:c r="F164" s="36" t="str">
        <x:v>单任务bytes已有约束，但blob、媒体、事件、导出与GC的累计容量未闭合。</x:v>
      </x:c>
      <x:c r="G164" s="36" t="str">
        <x:v>分类配额、高低水位、并发预留、GC引用pin和磁盘满恢复用例。</x:v>
      </x:c>
      <x:c r="H164" s="36" t="str">
        <x:v>未执行</x:v>
      </x:c>
    </x:row>
    <x:row r="165" ht="76" customHeight="1">
      <x:c r="A165" s="36" t="str">
        <x:v>C-16</x:v>
      </x:c>
      <x:c r="B165" s="36" t="str">
        <x:v>复核回归</x:v>
      </x:c>
      <x:c r="C165" s="36" t="str">
        <x:v>独立review需要可验证执行与版本绑定</x:v>
      </x:c>
      <x:c r="D165" s="36" t="str">
        <x:v>GOV-01 CONTRACT-02</x:v>
      </x:c>
      <x:c r="E165" s="36" t="str">
        <x:v>M0</x:v>
      </x:c>
      <x:c r="F165" s="36" t="str">
        <x:v>工作包要求独立review，但没有reviewer/run/input-hash输出合同，容易与作者自审混同。</x:v>
      </x:c>
      <x:c r="G165" s="36" t="str">
        <x:v>新增handoff模板和review状态/输入哈希；本轮明确未执行独立子Agent审核。</x:v>
      </x:c>
      <x:c r="H165" s="36" t="str">
        <x:v>未执行</x:v>
      </x:c>
    </x:row>
  </x:sheetData>
  <x:mergeCells>
    <x:mergeCell ref="A1:H1"/>
    <x:mergeCell ref="A2:H2"/>
  </x:mergeCells>
  <x:dataValidations count="2">
    <x:dataValidation type="list" sqref="H5:H143">
      <x:formula1>"未执行,通过,失败,阻塞,不适用(需说明)"</x:formula1>
    </x:dataValidation>
    <x:dataValidation type="list" sqref="H5:H165">
      <x:formula1>"未执行,通过,失败,不适用"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464a943f78414e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30" hidden="0" customWidth="1"/>
    <x:col min="3" max="3" width="28" hidden="0" customWidth="1"/>
    <x:col min="4" max="4" width="35" hidden="0" customWidth="1"/>
    <x:col min="5" max="5" width="47" hidden="0" customWidth="1"/>
    <x:col min="6" max="6" width="20" hidden="0" customWidth="1"/>
    <x:col min="7" max="7" width="13" hidden="0" customWidth="1"/>
  </x:cols>
  <x:sheetData>
    <x:row r="1" ht="34" customHeight="1">
      <x:c r="A1" s="3" t="str">
        <x:v>风险与处置台账</x:v>
      </x:c>
      <x:c r="B1" s="3"/>
      <x:c r="C1" s="3"/>
      <x:c r="D1" s="3"/>
      <x:c r="E1" s="3"/>
      <x:c r="F1" s="3"/>
      <x:c r="G1" s="3"/>
    </x:row>
    <x:row r="2" ht="34" customHeight="1">
      <x:c r="A2" s="7" t="str">
        <x:v>记录触发信号与替代路径；禁止以收费第三方服务作为默认风险回退。</x:v>
      </x:c>
      <x:c r="B2" s="7"/>
      <x:c r="C2" s="7"/>
      <x:c r="D2" s="7"/>
      <x:c r="E2" s="7"/>
      <x:c r="F2" s="7"/>
      <x:c r="G2" s="7"/>
    </x:row>
    <x:row r="4" ht="32" customHeight="1">
      <x:c r="A4" s="19" t="str">
        <x:v>风险ID</x:v>
      </x:c>
      <x:c r="B4" s="19" t="str">
        <x:v>风险</x:v>
      </x:c>
      <x:c r="C4" s="19" t="str">
        <x:v>关联工作包</x:v>
      </x:c>
      <x:c r="D4" s="19" t="str">
        <x:v>触发信号</x:v>
      </x:c>
      <x:c r="E4" s="19" t="str">
        <x:v>处置</x:v>
      </x:c>
      <x:c r="F4" s="19" t="str">
        <x:v>责任角色</x:v>
      </x:c>
      <x:c r="G4" s="19" t="str">
        <x:v>状态</x:v>
      </x:c>
    </x:row>
    <x:row r="5" ht="74" customHeight="1">
      <x:c r="A5" s="12" t="str">
        <x:v>R01</x:v>
      </x:c>
      <x:c r="B5" s="12" t="str">
        <x:v>免费来源改变条款或失效</x:v>
      </x:c>
      <x:c r="C5" s="12" t="str">
        <x:v>SRC-01/02/06</x:v>
      </x:c>
      <x:c r="D5" s="12" t="str">
        <x:v>来源连续失败或审核过期</x:v>
      </x:c>
      <x:c r="E5" s="12" t="str">
        <x:v>停用、修复、保留部分结果；不切收费</x:v>
      </x:c>
      <x:c r="F5" s="12" t="str">
        <x:v>搜索适配</x:v>
      </x:c>
      <x:c r="G5" s="12" t="str">
        <x:v>未触发</x:v>
      </x:c>
    </x:row>
    <x:row r="6" ht="74" customHeight="1">
      <x:c r="A6" s="12" t="str">
        <x:v>R02</x:v>
      </x:c>
      <x:c r="B6" s="12" t="str">
        <x:v>新增来源降低质量</x:v>
      </x:c>
      <x:c r="C6" s="12" t="str">
        <x:v>RANK-01/02 SRC-05</x:v>
      </x:c>
      <x:c r="D6" s="12" t="str">
        <x:v>冗余或低相关结果上升</x:v>
      </x:c>
      <x:c r="E6" s="12" t="str">
        <x:v>做来源消融、控制贡献、回滚权重</x:v>
      </x:c>
      <x:c r="F6" s="12" t="str">
        <x:v>检索核心</x:v>
      </x:c>
      <x:c r="G6" s="12" t="str">
        <x:v>未触发</x:v>
      </x:c>
    </x:row>
    <x:row r="7" ht="74" customHeight="1">
      <x:c r="A7" s="12" t="str">
        <x:v>R03</x:v>
      </x:c>
      <x:c r="B7" s="12" t="str">
        <x:v>浏览器内存和网络隔离</x:v>
      </x:c>
      <x:c r="C7" s="12" t="str">
        <x:v>READ-02 SEC-01</x:v>
      </x:c>
      <x:c r="D7" s="12" t="str">
        <x:v>OOM、残留进程、出站旁路</x:v>
      </x:c>
      <x:c r="E7" s="12" t="str">
        <x:v>池限额、HTTP优先、强制出口与失败关闭</x:v>
      </x:c>
      <x:c r="F7" s="12" t="str">
        <x:v>安全/采集</x:v>
      </x:c>
      <x:c r="G7" s="12" t="str">
        <x:v>未触发</x:v>
      </x:c>
    </x:row>
    <x:row r="8" ht="74" customHeight="1">
      <x:c r="A8" s="12" t="str">
        <x:v>R04</x:v>
      </x:c>
      <x:c r="B8" s="12" t="str">
        <x:v>中文/精确字符映射失真</x:v>
      </x:c>
      <x:c r="C8" s="12" t="str">
        <x:v>QRY-02/03</x:v>
      </x:c>
      <x:c r="D8" s="12" t="str">
        <x:v>符号混淆或引用错位</x:v>
      </x:c>
      <x:c r="E8" s="12" t="str">
        <x:v>原文字段、版本化token映射与回归</x:v>
      </x:c>
      <x:c r="F8" s="12" t="str">
        <x:v>检索核心</x:v>
      </x:c>
      <x:c r="G8" s="12" t="str">
        <x:v>未触发</x:v>
      </x:c>
    </x:row>
    <x:row r="9" ht="74" customHeight="1">
      <x:c r="A9" s="12" t="str">
        <x:v>R05</x:v>
      </x:c>
      <x:c r="B9" s="12" t="str">
        <x:v>SQLite写入瓶颈</x:v>
      </x:c>
      <x:c r="C9" s="12" t="str">
        <x:v>INDEX-03 SCALE-01</x:v>
      </x:c>
      <x:c r="D9" s="12" t="str">
        <x:v>长锁、队列或WAL持续增长</x:v>
      </x:c>
      <x:c r="E9" s="12" t="str">
        <x:v>短事务、单写入口、物化会话、实测迁移</x:v>
      </x:c>
      <x:c r="F9" s="12" t="str">
        <x:v>存储/平台</x:v>
      </x:c>
      <x:c r="G9" s="12" t="str">
        <x:v>未触发</x:v>
      </x:c>
    </x:row>
    <x:row r="10" ht="74" customHeight="1">
      <x:c r="A10" s="12" t="str">
        <x:v>R06</x:v>
      </x:c>
      <x:c r="B10" s="12" t="str">
        <x:v>向量硬过滤漏召回</x:v>
      </x:c>
      <x:c r="C10" s="12" t="str">
        <x:v>INDEX-02</x:v>
      </x:c>
      <x:c r="D10" s="12" t="str">
        <x:v>合格候选不足</x:v>
      </x:c>
      <x:c r="E10" s="12" t="str">
        <x:v>授权准入、扩大候选、小集精确、标注partial</x:v>
      </x:c>
      <x:c r="F10" s="12" t="str">
        <x:v>存储/检索</x:v>
      </x:c>
      <x:c r="G10" s="12" t="str">
        <x:v>未触发</x:v>
      </x:c>
    </x:row>
    <x:row r="11" ht="74" customHeight="1">
      <x:c r="A11" s="12" t="str">
        <x:v>R07</x:v>
      </x:c>
      <x:c r="B11" s="12" t="str">
        <x:v>模型幻觉/注入/越权</x:v>
      </x:c>
      <x:c r="C11" s="12" t="str">
        <x:v>MODEL-02 EVID-01</x:v>
      </x:c>
      <x:c r="D11" s="12" t="str">
        <x:v>坏Schema/引用或工具请求</x:v>
      </x:c>
      <x:c r="E11" s="12" t="str">
        <x:v>程序校验、预算、权限与有限修复</x:v>
      </x:c>
      <x:c r="F11" s="12" t="str">
        <x:v>模型/安全</x:v>
      </x:c>
      <x:c r="G11" s="12" t="str">
        <x:v>未触发</x:v>
      </x:c>
    </x:row>
    <x:row r="12" ht="74" customHeight="1">
      <x:c r="A12" s="12" t="str">
        <x:v>R08</x:v>
      </x:c>
      <x:c r="B12" s="12" t="str">
        <x:v>文档或媒体恶意输入</x:v>
      </x:c>
      <x:c r="C12" s="12" t="str">
        <x:v>DOC-01/02 AV-02</x:v>
      </x:c>
      <x:c r="D12" s="12" t="str">
        <x:v>畸形包/解压或解码异常</x:v>
      </x:c>
      <x:c r="E12" s="12" t="str">
        <x:v>沙箱、格式白名单、超时与资源限额</x:v>
      </x:c>
      <x:c r="F12" s="12" t="str">
        <x:v>采集/安全</x:v>
      </x:c>
      <x:c r="G12" s="12" t="str">
        <x:v>未触发</x:v>
      </x:c>
    </x:row>
    <x:row r="13" ht="74" customHeight="1">
      <x:c r="A13" s="12" t="str">
        <x:v>R09</x:v>
      </x:c>
      <x:c r="B13" s="12" t="str">
        <x:v>权利与保留期不明确</x:v>
      </x:c>
      <x:c r="C13" s="12" t="str">
        <x:v>CRAWL-03 EXPORT-01</x:v>
      </x:c>
      <x:c r="D13" s="12" t="str">
        <x:v>来源政策不明或变更</x:v>
      </x:c>
      <x:c r="E13" s="12" t="str">
        <x:v>链接/元数据优先，单独保存与导出授权</x:v>
      </x:c>
      <x:c r="F13" s="12" t="str">
        <x:v>安全/架构</x:v>
      </x:c>
      <x:c r="G13" s="12" t="str">
        <x:v>未触发</x:v>
      </x:c>
    </x:row>
    <x:row r="14" ht="74" customHeight="1">
      <x:c r="A14" s="12" t="str">
        <x:v>R10</x:v>
      </x:c>
      <x:c r="B14" s="12" t="str">
        <x:v>多worker双执行</x:v>
      </x:c>
      <x:c r="C14" s="12" t="str">
        <x:v>JOB-01 SCALE-01</x:v>
      </x:c>
      <x:c r="D14" s="12" t="str">
        <x:v>网络分区、租约过期</x:v>
      </x:c>
      <x:c r="E14" s="12" t="str">
        <x:v>fencing、幂等产物、共享额度</x:v>
      </x:c>
      <x:c r="F14" s="12" t="str">
        <x:v>核心平台</x:v>
      </x:c>
      <x:c r="G14" s="12" t="str">
        <x:v>未触发</x:v>
      </x:c>
    </x:row>
    <x:row r="15" ht="74" customHeight="1">
      <x:c r="A15" s="12" t="str">
        <x:v>R11</x:v>
      </x:c>
      <x:c r="B15" s="12" t="str">
        <x:v>删除后旧会话/备份泄露</x:v>
      </x:c>
      <x:c r="C15" s="12" t="str">
        <x:v>AUTH-01 OPS-02</x:v>
      </x:c>
      <x:c r="D15" s="12" t="str">
        <x:v>旧引用仍可读</x:v>
      </x:c>
      <x:c r="E15" s="12" t="str">
        <x:v>acl_epoch、tombstone、恢复重放</x:v>
      </x:c>
      <x:c r="F15" s="12" t="str">
        <x:v>安全/存储</x:v>
      </x:c>
      <x:c r="G15" s="12" t="str">
        <x:v>未触发</x:v>
      </x:c>
    </x:row>
    <x:row r="16" ht="74" customHeight="1">
      <x:c r="A16" s="12" t="str">
        <x:v>R12</x:v>
      </x:c>
      <x:c r="B16" s="12" t="str">
        <x:v>范围与估算膨胀</x:v>
      </x:c>
      <x:c r="C16" s="12" t="str">
        <x:v>GOV-01 SRC-06</x:v>
      </x:c>
      <x:c r="D16" s="12" t="str">
        <x:v>长尾来源/格式持续增加</x:v>
      </x:c>
      <x:c r="E16" s="12" t="str">
        <x:v>保留清单，按批次与单位工量追加</x:v>
      </x:c>
      <x:c r="F16" s="12" t="str">
        <x:v>架构/项目</x:v>
      </x:c>
      <x:c r="G16" s="12" t="str">
        <x:v>未触发</x:v>
      </x:c>
    </x:row>
  </x:sheetData>
  <x:mergeCells>
    <x:mergeCell ref="A1:G1"/>
    <x:mergeCell ref="A2:G2"/>
  </x:mergeCells>
  <x:dataValidations count="1">
    <x:dataValidation type="list" sqref="G5:G16">
      <x:formula1>"未触发,观察中,已触发,已处理"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c9ca838f7e497d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3" hidden="0" customWidth="1"/>
    <x:col min="3" max="3" width="60" hidden="0" customWidth="1"/>
    <x:col min="4" max="4" width="16" hidden="0" customWidth="1"/>
    <x:col min="5" max="5" width="23" hidden="0" customWidth="1"/>
    <x:col min="6" max="6" width="39" hidden="0" customWidth="1"/>
  </x:cols>
  <x:sheetData>
    <x:row r="1" ht="34" customHeight="1">
      <x:c r="A1" s="3" t="str">
        <x:v>估算假设与官方依据</x:v>
      </x:c>
      <x:c r="B1" s="3"/>
      <x:c r="C1" s="3"/>
      <x:c r="D1" s="3"/>
      <x:c r="E1" s="3"/>
      <x:c r="F1" s="3"/>
    </x:row>
    <x:row r="2" ht="34" customHeight="1">
      <x:c r="A2" s="7" t="str">
        <x:v>绿色单元格可编辑；日期为资料核查日期，不是软件完成日期。来源事实与自研方案分开。</x:v>
      </x:c>
      <x:c r="B2" s="7"/>
      <x:c r="C2" s="7"/>
      <x:c r="D2" s="7"/>
      <x:c r="E2" s="7"/>
      <x:c r="F2" s="7"/>
    </x:row>
    <x:row r="4" ht="32" customHeight="1">
      <x:c r="A4" s="19" t="str">
        <x:v>参数</x:v>
      </x:c>
      <x:c r="B4" s="19" t="str">
        <x:v>数值</x:v>
      </x:c>
      <x:c r="C4" s="19" t="str">
        <x:v>解释</x:v>
      </x:c>
      <x:c r="D4" s="19" t="str"/>
      <x:c r="E4" s="19" t="str"/>
      <x:c r="F4" s="19" t="str"/>
    </x:row>
    <x:row r="5" ht="42" customHeight="1">
      <x:c r="A5" s="36" t="str">
        <x:v>风险缓冲</x:v>
      </x:c>
      <x:c r="B5" s="37" t="n">
        <x:v>0.3</x:v>
      </x:c>
      <x:c r="C5" s="36" t="str">
        <x:v>对总工量只加一次；不是实测误差</x:v>
      </x:c>
      <x:c r="D5" s="36"/>
      <x:c r="E5" s="36"/>
      <x:c r="F5" s="36"/>
    </x:row>
    <x:row r="6" ht="42" customHeight="1">
      <x:c r="A6" s="36" t="str">
        <x:v>每周工作日</x:v>
      </x:c>
      <x:c r="B6" s="38" t="n">
        <x:v>5</x:v>
      </x:c>
      <x:c r="C6" s="36" t="str">
        <x:v>仅作容量换算，可修改</x:v>
      </x:c>
      <x:c r="D6" s="36"/>
      <x:c r="E6" s="36"/>
      <x:c r="F6" s="36"/>
    </x:row>
    <x:row r="7" ht="42" customHeight="1">
      <x:c r="A7" s="36" t="str">
        <x:v>团队人数</x:v>
      </x:c>
      <x:c r="B7" s="38"/>
      <x:c r="C7" s="36" t="str">
        <x:v>尚未提供；不编造人数和日历发布日期</x:v>
      </x:c>
      <x:c r="D7" s="36"/>
      <x:c r="E7" s="36"/>
      <x:c r="F7" s="36"/>
    </x:row>
    <x:row r="8" ht="42" customHeight="1">
      <x:c r="A8" s="36" t="str">
        <x:v>有效投入系数</x:v>
      </x:c>
      <x:c r="B8" s="37" t="n">
        <x:v>0.75</x:v>
      </x:c>
      <x:c r="C8" s="36" t="str">
        <x:v>示例假设；填写团队后由实际吞吐校准</x:v>
      </x:c>
      <x:c r="D8" s="36"/>
      <x:c r="E8" s="36"/>
      <x:c r="F8" s="36"/>
    </x:row>
    <x:row r="9" ht="42" customHeight="1">
      <x:c r="A9" s="36" t="str">
        <x:v>每周可用人日</x:v>
      </x:c>
      <x:c r="B9" s="36" t="str">
        <x:f>IF(OR(B7="",B7&lt;=0),"未配置团队",B6*B7*B8)</x:f>
        <x:v>未配置团队</x:v>
      </x:c>
      <x:c r="C9" s="36" t="str">
        <x:v>人数×工作日×有效投入；不是日历工期</x:v>
      </x:c>
      <x:c r="D9" s="36"/>
      <x:c r="E9" s="36"/>
      <x:c r="F9" s="36"/>
    </x:row>
    <x:row r="10" ht="42" customHeight="1">
      <x:c r="A10" s="36" t="str">
        <x:v>来源接入预算</x:v>
      </x:c>
      <x:c r="B10" s="36" t="str">
        <x:v>首批3–5 + 下一批5–10</x:v>
      </x:c>
      <x:c r="C10" s="36" t="str">
        <x:v>其余清点候选需继续审核处置；更多实现另排工量</x:v>
      </x:c>
      <x:c r="D10" s="36"/>
      <x:c r="E10" s="36"/>
      <x:c r="F10" s="36"/>
    </x:row>
    <x:row r="11" ht="42" customHeight="1">
      <x:c r="A11" s="36" t="str">
        <x:v>实现状态</x:v>
      </x:c>
      <x:c r="B11" s="36" t="str">
        <x:v>未开始</x:v>
      </x:c>
      <x:c r="C11" s="36" t="str">
        <x:v>本工作簿是设计计划，未执行任何产品验收</x:v>
      </x:c>
      <x:c r="D11" s="36"/>
      <x:c r="E11" s="36"/>
      <x:c r="F11" s="36"/>
    </x:row>
    <x:row r="14" ht="32" customHeight="1">
      <x:c r="A14" s="19" t="str">
        <x:v>资料ID</x:v>
      </x:c>
      <x:c r="B14" s="19" t="str">
        <x:v>资料名称</x:v>
      </x:c>
      <x:c r="C14" s="19" t="str">
        <x:v>官方地址</x:v>
      </x:c>
      <x:c r="D14" s="19" t="str">
        <x:v>查阅日期</x:v>
      </x:c>
      <x:c r="E14" s="19" t="str">
        <x:v>用途</x:v>
      </x:c>
      <x:c r="F14" s="19" t="str">
        <x:v>备注</x:v>
      </x:c>
    </x:row>
    <x:row r="15" ht="68" customHeight="1">
      <x:c r="A15" s="12" t="str">
        <x:v>S01</x:v>
      </x:c>
      <x:c r="B15" s="12" t="str">
        <x:v>SQLite FTS5：全文索引、BM25与自定义分词</x:v>
      </x:c>
      <x:c r="C15" s="12" t="str">
        <x:v>https://www.sqlite.org/fts5.html</x:v>
      </x:c>
      <x:c r="D15" s="12" t="str">
        <x:v>2026-10-16</x:v>
      </x:c>
      <x:c r="E15" s="12" t="str">
        <x:v>基础能力/边界核验</x:v>
      </x:c>
      <x:c r="F15" s="12" t="str">
        <x:v>具体版本在M0固定；不引入托管收费服务</x:v>
      </x:c>
    </x:row>
    <x:row r="16" ht="68" customHeight="1">
      <x:c r="A16" s="12" t="str">
        <x:v>S02</x:v>
      </x:c>
      <x:c r="B16" s="12" t="str">
        <x:v>SQLite WAL：并发与本机文件约束</x:v>
      </x:c>
      <x:c r="C16" s="12" t="str">
        <x:v>https://www.sqlite.org/wal.html</x:v>
      </x:c>
      <x:c r="D16" s="12" t="str">
        <x:v>2026-10-16</x:v>
      </x:c>
      <x:c r="E16" s="12" t="str">
        <x:v>基础能力/边界核验</x:v>
      </x:c>
      <x:c r="F16" s="12" t="str">
        <x:v>具体版本在M0固定；不引入托管收费服务</x:v>
      </x:c>
    </x:row>
    <x:row r="17" ht="68" customHeight="1">
      <x:c r="A17" s="12" t="str">
        <x:v>S03</x:v>
      </x:c>
      <x:c r="B17" s="12" t="str">
        <x:v>libcurl multi：多请求异步接口</x:v>
      </x:c>
      <x:c r="C17" s="12" t="str">
        <x:v>https://curl.se/libcurl/c/libcurl-multi.html</x:v>
      </x:c>
      <x:c r="D17" s="12" t="str">
        <x:v>2026-10-16</x:v>
      </x:c>
      <x:c r="E17" s="12" t="str">
        <x:v>基础能力/边界核验</x:v>
      </x:c>
      <x:c r="F17" s="12" t="str">
        <x:v>具体版本在M0固定；不引入托管收费服务</x:v>
      </x:c>
    </x:row>
    <x:row r="18" ht="68" customHeight="1">
      <x:c r="A18" s="12" t="str">
        <x:v>S04</x:v>
      </x:c>
      <x:c r="B18" s="12" t="str">
        <x:v>Chrome DevTools Protocol：浏览器控制基础</x:v>
      </x:c>
      <x:c r="C18" s="12" t="str">
        <x:v>https://chromedevtools.github.io/devtools-protocol/</x:v>
      </x:c>
      <x:c r="D18" s="12" t="str">
        <x:v>2026-10-16</x:v>
      </x:c>
      <x:c r="E18" s="12" t="str">
        <x:v>基础能力/边界核验</x:v>
      </x:c>
      <x:c r="F18" s="12" t="str">
        <x:v>具体版本在M0固定；不引入托管收费服务</x:v>
      </x:c>
    </x:row>
    <x:row r="19" ht="68" customHeight="1">
      <x:c r="A19" s="12" t="str">
        <x:v>S05</x:v>
      </x:c>
      <x:c r="B19" s="12" t="str">
        <x:v>Drogon：C++跨平台HTTP框架</x:v>
      </x:c>
      <x:c r="C19" s="12" t="str">
        <x:v>https://github.com/drogonframework/drogon</x:v>
      </x:c>
      <x:c r="D19" s="12" t="str">
        <x:v>2026-10-16</x:v>
      </x:c>
      <x:c r="E19" s="12" t="str">
        <x:v>基础能力/边界核验</x:v>
      </x:c>
      <x:c r="F19" s="12" t="str">
        <x:v>具体版本在M0固定；不引入托管收费服务</x:v>
      </x:c>
    </x:row>
    <x:row r="20" ht="68" customHeight="1">
      <x:c r="A20" s="12" t="str">
        <x:v>S06</x:v>
      </x:c>
      <x:c r="B20" s="12" t="str">
        <x:v>Lexbor：HTML解析与选择器基础</x:v>
      </x:c>
      <x:c r="C20" s="12" t="str">
        <x:v>https://lexbor.com/</x:v>
      </x:c>
      <x:c r="D20" s="12" t="str">
        <x:v>2026-10-16</x:v>
      </x:c>
      <x:c r="E20" s="12" t="str">
        <x:v>基础能力/边界核验</x:v>
      </x:c>
      <x:c r="F20" s="12" t="str">
        <x:v>具体版本在M0固定；不引入托管收费服务</x:v>
      </x:c>
    </x:row>
    <x:row r="21" ht="68" customHeight="1">
      <x:c r="A21" s="12" t="str">
        <x:v>S07</x:v>
      </x:c>
      <x:c r="B21" s="12" t="str">
        <x:v>ICU：Unicode与中文词边界</x:v>
      </x:c>
      <x:c r="C21" s="12" t="str">
        <x:v>https://unicode-org.github.io/icu/userguide/boundaryanalysis/</x:v>
      </x:c>
      <x:c r="D21" s="12" t="str">
        <x:v>2026-10-16</x:v>
      </x:c>
      <x:c r="E21" s="12" t="str">
        <x:v>基础能力/边界核验</x:v>
      </x:c>
      <x:c r="F21" s="12" t="str">
        <x:v>具体版本在M0固定；不引入托管收费服务</x:v>
      </x:c>
    </x:row>
    <x:row r="22" ht="68" customHeight="1">
      <x:c r="A22" s="12" t="str">
        <x:v>S08</x:v>
      </x:c>
      <x:c r="B22" s="12" t="str">
        <x:v>OpenCC：中文简繁转换</x:v>
      </x:c>
      <x:c r="C22" s="12" t="str">
        <x:v>https://github.com/BYVoid/OpenCC</x:v>
      </x:c>
      <x:c r="D22" s="12" t="str">
        <x:v>2026-10-16</x:v>
      </x:c>
      <x:c r="E22" s="12" t="str">
        <x:v>基础能力/边界核验</x:v>
      </x:c>
      <x:c r="F22" s="12" t="str">
        <x:v>具体版本在M0固定；不引入托管收费服务</x:v>
      </x:c>
    </x:row>
    <x:row r="23" ht="68" customHeight="1">
      <x:c r="A23" s="12" t="str">
        <x:v>S09</x:v>
      </x:c>
      <x:c r="B23" s="12" t="str">
        <x:v>hnswlib：C++近邻检索</x:v>
      </x:c>
      <x:c r="C23" s="12" t="str">
        <x:v>https://github.com/nmslib/hnswlib</x:v>
      </x:c>
      <x:c r="D23" s="12" t="str">
        <x:v>2026-10-16</x:v>
      </x:c>
      <x:c r="E23" s="12" t="str">
        <x:v>基础能力/边界核验</x:v>
      </x:c>
      <x:c r="F23" s="12" t="str">
        <x:v>具体版本在M0固定；不引入托管收费服务</x:v>
      </x:c>
    </x:row>
    <x:row r="24" ht="68" customHeight="1">
      <x:c r="A24" s="12" t="str">
        <x:v>S10</x:v>
      </x:c>
      <x:c r="B24" s="12" t="str">
        <x:v>hnswlib：C++过滤与持久化示例</x:v>
      </x:c>
      <x:c r="C24" s="12" t="str">
        <x:v>https://github.com/nmslib/hnswlib/blob/master/examples/cpp/EXAMPLES.md</x:v>
      </x:c>
      <x:c r="D24" s="12" t="str">
        <x:v>2026-10-16</x:v>
      </x:c>
      <x:c r="E24" s="12" t="str">
        <x:v>基础能力/边界核验</x:v>
      </x:c>
      <x:c r="F24" s="12" t="str">
        <x:v>具体版本在M0固定；不引入托管收费服务</x:v>
      </x:c>
    </x:row>
    <x:row r="25" ht="68" customHeight="1">
      <x:c r="A25" s="12" t="str">
        <x:v>S11</x:v>
      </x:c>
      <x:c r="B25" s="12" t="str">
        <x:v>公开索引与摘要声明：Google说明（不视为普适法律）</x:v>
      </x:c>
      <x:c r="C25" s="12" t="str">
        <x:v>https://developers.google.com/search/docs/crawling-indexing/robots-meta-tag</x:v>
      </x:c>
      <x:c r="D25" s="12" t="str">
        <x:v>2026-10-16</x:v>
      </x:c>
      <x:c r="E25" s="12" t="str">
        <x:v>基础能力/边界核验</x:v>
      </x:c>
      <x:c r="F25" s="12" t="str">
        <x:v>具体版本在M0固定；不引入托管收费服务</x:v>
      </x:c>
    </x:row>
    <x:row r="26" ht="68" customHeight="1">
      <x:c r="A26" s="12" t="str">
        <x:v>S12</x:v>
      </x:c>
      <x:c r="B26" s="12" t="str">
        <x:v>RFC 9309：Robots Exclusion Protocol</x:v>
      </x:c>
      <x:c r="C26" s="12" t="str">
        <x:v>https://www.rfc-editor.org/rfc/rfc9309.html</x:v>
      </x:c>
      <x:c r="D26" s="12" t="str">
        <x:v>2026-10-16</x:v>
      </x:c>
      <x:c r="E26" s="12" t="str">
        <x:v>基础能力/边界核验</x:v>
      </x:c>
      <x:c r="F26" s="12" t="str">
        <x:v>具体版本在M0固定；不引入托管收费服务</x:v>
      </x:c>
    </x:row>
    <x:row r="27" ht="68" customHeight="1">
      <x:c r="A27" s="12" t="str">
        <x:v>S13</x:v>
      </x:c>
      <x:c r="B27" s="12" t="str">
        <x:v>检索排序评估方法</x:v>
      </x:c>
      <x:c r="C27" s="12" t="str">
        <x:v>https://www.elastic.co/docs/reference/elasticsearch/rest-apis/search-rank-eval</x:v>
      </x:c>
      <x:c r="D27" s="12" t="str">
        <x:v>2026-10-16</x:v>
      </x:c>
      <x:c r="E27" s="12" t="str">
        <x:v>基础能力/边界核验</x:v>
      </x:c>
      <x:c r="F27" s="12" t="str">
        <x:v>具体版本在M0固定；不引入托管收费服务</x:v>
      </x:c>
    </x:row>
    <x:row r="28" ht="68" customHeight="1">
      <x:c r="A28" s="12" t="str">
        <x:v>S14</x:v>
      </x:c>
      <x:c r="B28" s="12" t="str">
        <x:v>OWASP：SSRF风险与防护</x:v>
      </x:c>
      <x:c r="C28" s="12" t="str">
        <x:v>https://cheatsheetseries.owasp.org/cheatsheets/Server_Side_Request_Forgery_Prevention_Cheat_Sheet.html</x:v>
      </x:c>
      <x:c r="D28" s="12" t="str">
        <x:v>2026-10-16</x:v>
      </x:c>
      <x:c r="E28" s="12" t="str">
        <x:v>基础能力/边界核验</x:v>
      </x:c>
      <x:c r="F28" s="12" t="str">
        <x:v>具体版本在M0固定；不引入托管收费服务</x:v>
      </x:c>
    </x:row>
    <x:row r="29" ht="68" customHeight="1">
      <x:c r="A29" s="12" t="str">
        <x:v>S15</x:v>
      </x:c>
      <x:c r="B29" s="12" t="str">
        <x:v>MCP规范：本次latest指向2026-07-28</x:v>
      </x:c>
      <x:c r="C29" s="12" t="str">
        <x:v>https://modelcontextprotocol.io/specification/2026-07-28</x:v>
      </x:c>
      <x:c r="D29" s="12" t="str">
        <x:v>2026-10-16</x:v>
      </x:c>
      <x:c r="E29" s="12" t="str">
        <x:v>基础能力/边界核验</x:v>
      </x:c>
      <x:c r="F29" s="12" t="str">
        <x:v>具体版本在M0固定；不引入托管收费服务</x:v>
      </x:c>
    </x:row>
    <x:row r="30" ht="68" customHeight="1">
      <x:c r="A30" s="12" t="str">
        <x:v>S16</x:v>
      </x:c>
      <x:c r="B30" s="12" t="str">
        <x:v>OpenAI：API接口概览</x:v>
      </x:c>
      <x:c r="C30" s="12" t="str">
        <x:v>https://developers.openai.com/api/reference/overview/</x:v>
      </x:c>
      <x:c r="D30" s="12" t="str">
        <x:v>2026-10-16</x:v>
      </x:c>
      <x:c r="E30" s="12" t="str">
        <x:v>基础能力/边界核验</x:v>
      </x:c>
      <x:c r="F30" s="12" t="str">
        <x:v>具体版本在M0固定；不引入托管收费服务</x:v>
      </x:c>
    </x:row>
    <x:row r="31" ht="68" customHeight="1">
      <x:c r="A31" s="12" t="str">
        <x:v>S17</x:v>
      </x:c>
      <x:c r="B31" s="12" t="str">
        <x:v>Claude：Messages API</x:v>
      </x:c>
      <x:c r="C31" s="12" t="str">
        <x:v>https://platform.claude.com/docs/en/api/messages</x:v>
      </x:c>
      <x:c r="D31" s="12" t="str">
        <x:v>2026-10-16</x:v>
      </x:c>
      <x:c r="E31" s="12" t="str">
        <x:v>基础能力/边界核验</x:v>
      </x:c>
      <x:c r="F31" s="12" t="str">
        <x:v>具体版本在M0固定；不引入托管收费服务</x:v>
      </x:c>
    </x:row>
    <x:row r="32" ht="68" customHeight="1">
      <x:c r="A32" s="12" t="str">
        <x:v>S18</x:v>
      </x:c>
      <x:c r="B32" s="12" t="str">
        <x:v>Tree-sitter：增量语法分析</x:v>
      </x:c>
      <x:c r="C32" s="12" t="str">
        <x:v>https://tree-sitter.github.io/tree-sitter/</x:v>
      </x:c>
      <x:c r="D32" s="12" t="str">
        <x:v>2026-10-16</x:v>
      </x:c>
      <x:c r="E32" s="12" t="str">
        <x:v>基础能力/边界核验</x:v>
      </x:c>
      <x:c r="F32" s="12" t="str">
        <x:v>具体版本在M0固定；不引入托管收费服务</x:v>
      </x:c>
    </x:row>
    <x:row r="33" ht="68" customHeight="1">
      <x:c r="A33" s="12" t="str">
        <x:v>S19</x:v>
      </x:c>
      <x:c r="B33" s="12" t="str">
        <x:v>whisper.cpp：C/C++转写与许可</x:v>
      </x:c>
      <x:c r="C33" s="12" t="str">
        <x:v>https://github.com/ggml-org/whisper.cpp</x:v>
      </x:c>
      <x:c r="D33" s="12" t="str">
        <x:v>2026-10-16</x:v>
      </x:c>
      <x:c r="E33" s="12" t="str">
        <x:v>基础能力/边界核验</x:v>
      </x:c>
      <x:c r="F33" s="12" t="str">
        <x:v>具体版本在M0固定；不引入托管收费服务</x:v>
      </x:c>
    </x:row>
    <x:row r="34" ht="68" customHeight="1">
      <x:c r="A34" s="12" t="str">
        <x:v>S20</x:v>
      </x:c>
      <x:c r="B34" s="12" t="str">
        <x:v>FFmpeg：构建选项与许可证边界</x:v>
      </x:c>
      <x:c r="C34" s="12" t="str">
        <x:v>https://ffmpeg.org/legal.html</x:v>
      </x:c>
      <x:c r="D34" s="12" t="str">
        <x:v>2026-10-16</x:v>
      </x:c>
      <x:c r="E34" s="12" t="str">
        <x:v>基础能力/边界核验</x:v>
      </x:c>
      <x:c r="F34" s="12" t="str">
        <x:v>具体版本在M0固定；不引入托管收费服务</x:v>
      </x:c>
    </x:row>
    <x:row r="35" ht="68" customHeight="1">
      <x:c r="A35" s="12" t="str">
        <x:v>S21</x:v>
      </x:c>
      <x:c r="B35" s="12" t="str">
        <x:v>PDFium：使用与构建指引</x:v>
      </x:c>
      <x:c r="C35" s="12" t="str">
        <x:v>https://pdfium.googlesource.com/pdfium/+show/HEAD/docs/getting-started.md</x:v>
      </x:c>
      <x:c r="D35" s="12" t="str">
        <x:v>2026-10-16</x:v>
      </x:c>
      <x:c r="E35" s="12" t="str">
        <x:v>基础能力/边界核验</x:v>
      </x:c>
      <x:c r="F35" s="12" t="str">
        <x:v>具体版本在M0固定；不引入托管收费服务</x:v>
      </x:c>
    </x:row>
    <x:row r="36">
      <x:c r="A36" t="str">
        <x:v>S22</x:v>
      </x:c>
      <x:c r="B36" t="str">
        <x:v>JSON Schema：default是注解</x:v>
      </x:c>
      <x:c r="C36" t="str">
        <x:v>https://json-schema.org/understanding-json-schema/reference/annotations</x:v>
      </x:c>
      <x:c r="D36" t="str">
        <x:v>2026-10-16</x:v>
      </x:c>
      <x:c r="E36" t="str">
        <x:v>本轮边界核验</x:v>
      </x:c>
      <x:c r="F36" t="str">
        <x:v>其他基线资料未全面重新核验</x:v>
      </x:c>
    </x:row>
    <x:row r="37">
      <x:c r="A37" t="str">
        <x:v>S23</x:v>
      </x:c>
      <x:c r="B37" t="str">
        <x:v>SQLite Online Backup API</x:v>
      </x:c>
      <x:c r="C37" t="str">
        <x:v>https://www.sqlite.org/backup.html</x:v>
      </x:c>
      <x:c r="D37" t="str">
        <x:v>2026-10-16</x:v>
      </x:c>
      <x:c r="E37" t="str">
        <x:v>本轮边界核验</x:v>
      </x:c>
      <x:c r="F37" t="str">
        <x:v>其他基线资料未全面重新核验</x:v>
      </x:c>
    </x:row>
    <x:row r="38">
      <x:c r="A38" t="str">
        <x:v>S24</x:v>
      </x:c>
      <x:c r="B38" t="str">
        <x:v>JSON Schema：format校验</x:v>
      </x:c>
      <x:c r="C38" t="str">
        <x:v>https://json-schema.org/understanding-json-schema/reference/string</x:v>
      </x:c>
      <x:c r="D38" t="str">
        <x:v>2026-10-16</x:v>
      </x:c>
      <x:c r="E38" t="str">
        <x:v>本轮边界核验</x:v>
      </x:c>
      <x:c r="F38" t="str">
        <x:v>其他基线资料未全面重新核验</x:v>
      </x:c>
    </x:row>
    <x:row r="40" ht="50" customHeight="1">
      <x:c r="A40" s="36" t="str">
        <x:v>本轮审核方式</x:v>
      </x:c>
      <x:c r="B40" s="36" t="str">
        <x:v>作者自审＋文档脚本校验</x:v>
      </x:c>
      <x:c r="C40" s="36" t="str">
        <x:v>独立子Agent未执行，不得标记为已独立批准</x:v>
      </x:c>
    </x:row>
    <x:row r="41" ht="50" customHeight="1">
      <x:c r="A41" s="36" t="str">
        <x:v>工量修订</x:v>
      </x:c>
      <x:c r="B41" s="36" t="str">
        <x:v>见工量变更表</x:v>
      </x:c>
      <x:c r="C41" s="36" t="str">
        <x:v>新增前置切片时已扣除原任务迁出部分，避免双计</x:v>
      </x:c>
    </x:row>
    <x:row r="42" ht="50" customHeight="1">
      <x:c r="A42" s="36" t="str">
        <x:v>基础部署</x:v>
      </x:c>
      <x:c r="B42" s="36" t="str">
        <x:v>不必配置模型</x:v>
      </x:c>
      <x:c r="C42" s="36" t="str">
        <x:v>模型增强仍使用用户配置；未获准收费非模型后端仍禁止</x:v>
      </x:c>
    </x:row>
  </x:sheetData>
  <x:mergeCells>
    <x:mergeCell ref="A1:F1"/>
    <x:mergeCell ref="A2:F2"/>
    <x:mergeCell ref="C5:F5"/>
    <x:mergeCell ref="C6:F6"/>
    <x:mergeCell ref="C7:F7"/>
    <x:mergeCell ref="C8:F8"/>
    <x:mergeCell ref="C9:F9"/>
    <x:mergeCell ref="C10:F10"/>
    <x:mergeCell ref="C11:F11"/>
  </x:mergeCells>
  <x:pageMargins left="0.7" right="0.7" top="0.75" bottom="0.75" header="0.3" footer="0.3"/>
  <x:tableParts count="1">
    <x:tablePart xmlns:r="http://schemas.openxmlformats.org/officeDocument/2006/relationships" r:id="R8f408aad908f4f97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8" hidden="0" customWidth="1"/>
    <x:col min="3" max="3" width="32" hidden="0" customWidth="1"/>
    <x:col min="4" max="4" width="44" hidden="0" customWidth="1"/>
    <x:col min="5" max="5" width="14" hidden="0" customWidth="1"/>
    <x:col min="6" max="6" width="46" hidden="0" customWidth="1"/>
    <x:col min="7" max="7" width="28" hidden="0" customWidth="1"/>
    <x:col min="8" max="8" width="12" hidden="0" customWidth="1"/>
    <x:col min="9" max="9" width="12" hidden="0" customWidth="1"/>
    <x:col min="10" max="10" width="14" hidden="0" customWidth="1"/>
  </x:cols>
  <x:sheetData>
    <x:row r="1" ht="32" customHeight="1">
      <x:c r="A1" s="64" t="str">
        <x:v>自审意见与逐项决定</x:v>
      </x:c>
      <x:c r="B1" s="64"/>
      <x:c r="C1" s="64"/>
      <x:c r="D1" s="64"/>
      <x:c r="E1" s="64"/>
      <x:c r="F1" s="64"/>
      <x:c r="G1" s="64"/>
      <x:c r="H1" s="64"/>
      <x:c r="I1" s="64"/>
      <x:c r="J1" s="64"/>
    </x:row>
    <x:row r="2" ht="38" customHeight="1">
      <x:c r="A2" s="66" t="str">
        <x:v>14项采纳 / 2项部分采纳。全部来自作者自审；没有独立Agent原始报告，不冒称独立审核。</x:v>
      </x:c>
      <x:c r="B2" s="66"/>
      <x:c r="C2" s="66"/>
      <x:c r="D2" s="66"/>
      <x:c r="E2" s="66"/>
      <x:c r="F2" s="66"/>
      <x:c r="G2" s="66"/>
      <x:c r="H2" s="66"/>
      <x:c r="I2" s="66"/>
      <x:c r="J2" s="66"/>
    </x:row>
    <x:row r="4" ht="26" customHeight="1">
      <x:c r="A4" s="69" t="str">
        <x:v>ID</x:v>
      </x:c>
      <x:c r="B4" s="69" t="str">
        <x:v>级别</x:v>
      </x:c>
      <x:c r="C4" s="69" t="str">
        <x:v>问题</x:v>
      </x:c>
      <x:c r="D4" s="69" t="str">
        <x:v>基线依据</x:v>
      </x:c>
      <x:c r="E4" s="69" t="str">
        <x:v>决定</x:v>
      </x:c>
      <x:c r="F4" s="69" t="str">
        <x:v>落实方式</x:v>
      </x:c>
      <x:c r="G4" s="69" t="str">
        <x:v>关联功能</x:v>
      </x:c>
      <x:c r="H4" s="69" t="str">
        <x:v>文档修订</x:v>
      </x:c>
      <x:c r="I4" s="69" t="str">
        <x:v>代码实现</x:v>
      </x:c>
      <x:c r="J4" s="69" t="str">
        <x:v>独立审核</x:v>
      </x:c>
    </x:row>
    <x:row r="5" ht="92" customHeight="1">
      <x:c r="A5" s="12" t="str">
        <x:v>RV-01</x:v>
      </x:c>
      <x:c r="B5" s="12" t="str">
        <x:v>P1</x:v>
      </x:c>
      <x:c r="C5" s="12" t="str">
        <x:v>早期协议集成没有独立交付包</x:v>
      </x:c>
      <x:c r="D5" s="12" t="str">
        <x:v>API-01在M7依赖RESEARCH/IMAGE/AV/EXPORT；CORE仅有空壳，M1跨协议一致性无独立验收。</x:v>
      </x:c>
      <x:c r="E5" s="12" t="str">
        <x:v>采纳</x:v>
      </x:c>
      <x:c r="F5" s="12" t="str">
        <x:v>新增API-00，API-01减量改为全覆盖收尾。</x:v>
      </x:c>
      <x:c r="G5" s="12" t="str">
        <x:v>API-00, API-01, UI-01</x:v>
      </x:c>
      <x:c r="H5" s="12" t="str">
        <x:v>已修订</x:v>
      </x:c>
      <x:c r="I5" s="12" t="str">
        <x:v>未实现</x:v>
      </x:c>
      <x:c r="J5" s="12" t="str">
        <x:v>未执行</x:v>
      </x:c>
    </x:row>
    <x:row r="6" ht="92" customHeight="1">
      <x:c r="A6" s="12" t="str">
        <x:v>RV-02</x:v>
      </x:c>
      <x:c r="B6" s="12" t="str">
        <x:v>P0</x:v>
      </x:c>
      <x:c r="C6" s="12" t="str">
        <x:v>robots在依赖图中晚于递归爬虫</x:v>
      </x:c>
      <x:c r="D6" s="12" t="str">
        <x:v>CRAWL-03负责robots但依赖CRAWL-01，递归请求准入与交付顺序倒置。</x:v>
      </x:c>
      <x:c r="E6" s="12" t="str">
        <x:v>采纳</x:v>
      </x:c>
      <x:c r="F6" s="12" t="str">
        <x:v>拆出ROBOTS-01作为CRAWL-01前置；noindex/nosnippet继续在CRAWL-03。</x:v>
      </x:c>
      <x:c r="G6" s="12" t="str">
        <x:v>ROBOTS-01, CRAWL-01, CRAWL-03</x:v>
      </x:c>
      <x:c r="H6" s="12" t="str">
        <x:v>已修订</x:v>
      </x:c>
      <x:c r="I6" s="12" t="str">
        <x:v>未实现</x:v>
      </x:c>
      <x:c r="J6" s="12" t="str">
        <x:v>未执行</x:v>
      </x:c>
    </x:row>
    <x:row r="7" ht="92" customHeight="1">
      <x:c r="A7" s="12" t="str">
        <x:v>RV-03</x:v>
      </x:c>
      <x:c r="B7" s="12" t="str">
        <x:v>P1</x:v>
      </x:c>
      <x:c r="C7" s="12" t="str">
        <x:v>观测和备份排到M8才交付</x:v>
      </x:c>
      <x:c r="D7" s="12" t="str">
        <x:v>OPS-01依赖完整UI，OPS-02依赖订阅；基础恢复和容量诊断需要更早。</x:v>
      </x:c>
      <x:c r="E7" s="12" t="str">
        <x:v>采纳</x:v>
      </x:c>
      <x:c r="F7" s="12" t="str">
        <x:v>新增OPS-00/BACKUP-00，原包减量保留最终演练。</x:v>
      </x:c>
      <x:c r="G7" s="12" t="str">
        <x:v>OPS-00, BACKUP-00, OPS-01, OPS-02</x:v>
      </x:c>
      <x:c r="H7" s="12" t="str">
        <x:v>已修订</x:v>
      </x:c>
      <x:c r="I7" s="12" t="str">
        <x:v>未实现</x:v>
      </x:c>
      <x:c r="J7" s="12" t="str">
        <x:v>未执行</x:v>
      </x:c>
    </x:row>
    <x:row r="8" ht="92" customHeight="1">
      <x:c r="A8" s="12" t="str">
        <x:v>RV-04</x:v>
      </x:c>
      <x:c r="B8" s="12" t="str">
        <x:v>P1</x:v>
      </x:c>
      <x:c r="C8" s="12" t="str">
        <x:v>无模型配置与基础运行承诺矛盾</x:v>
      </x:c>
      <x:c r="D8" s="12" t="str">
        <x:v>model-config要求非空default_text_profile、至少一个profile与四个角色；无模型部署被Schema拒绝。</x:v>
      </x:c>
      <x:c r="E8" s="12" t="str">
        <x:v>采纳</x:v>
      </x:c>
      <x:c r="F8" s="12" t="str">
        <x:v>允许空profile集合/null默认；模型增强能力单独禁用。</x:v>
      </x:c>
      <x:c r="G8" s="12" t="str">
        <x:v>MODEL-01, CONTRACT-02</x:v>
      </x:c>
      <x:c r="H8" s="12" t="str">
        <x:v>已修订</x:v>
      </x:c>
      <x:c r="I8" s="12" t="str">
        <x:v>未实现</x:v>
      </x:c>
      <x:c r="J8" s="12" t="str">
        <x:v>未执行</x:v>
      </x:c>
    </x:row>
    <x:row r="9" ht="92" customHeight="1">
      <x:c r="A9" s="12" t="str">
        <x:v>RV-05</x:v>
      </x:c>
      <x:c r="B9" s="12" t="str">
        <x:v>P1</x:v>
      </x:c>
      <x:c r="C9" s="12" t="str">
        <x:v>请求语义校验仍只有文字约定</x:v>
      </x:c>
      <x:c r="D9" s="12" t="str">
        <x:v>host+after等结构可过Schema；文档已说明需要程序检查，但交付无可执行合同向量。</x:v>
      </x:c>
      <x:c r="E9" s="12" t="str">
        <x:v>采纳</x:v>
      </x:c>
      <x:c r="F9" s="12" t="str">
        <x:v>加强字段/操作符/时间结构，补复杂度/离线冲突语义验证器与负例。</x:v>
      </x:c>
      <x:c r="G9" s="12" t="str">
        <x:v>QRY-01, CONTRACT-02</x:v>
      </x:c>
      <x:c r="H9" s="12" t="str">
        <x:v>已修订</x:v>
      </x:c>
      <x:c r="I9" s="12" t="str">
        <x:v>未实现</x:v>
      </x:c>
      <x:c r="J9" s="12" t="str">
        <x:v>未执行</x:v>
      </x:c>
    </x:row>
    <x:row r="10" ht="92" customHeight="1">
      <x:c r="A10" s="12" t="str">
        <x:v>RV-06</x:v>
      </x:c>
      <x:c r="B10" s="12" t="str">
        <x:v>P1</x:v>
      </x:c>
      <x:c r="C10" s="12" t="str">
        <x:v>角色继承、并发与默认值未闭合</x:v>
      </x:c>
      <x:c r="D10" s="12" t="str">
        <x:v>角色覆盖只含部分字段，profile必填；default注解不能自动生成实际配置；来源审核日期未限定格式。</x:v>
      </x:c>
      <x:c r="E10" s="12" t="str">
        <x:v>采纳</x:v>
      </x:c>
      <x:c r="F10" s="12" t="str">
        <x:v>统一角色覆盖对象、明确缺省/null、格式校验与source审核到期语义。</x:v>
      </x:c>
      <x:c r="G10" s="12" t="str">
        <x:v>MODEL-01, MODEL-02, SRC-01, CONTRACT-02</x:v>
      </x:c>
      <x:c r="H10" s="12" t="str">
        <x:v>已修订</x:v>
      </x:c>
      <x:c r="I10" s="12" t="str">
        <x:v>未实现</x:v>
      </x:c>
      <x:c r="J10" s="12" t="str">
        <x:v>未执行</x:v>
      </x:c>
    </x:row>
    <x:row r="11" ht="92" customHeight="1">
      <x:c r="A11" s="12" t="str">
        <x:v>RV-07</x:v>
      </x:c>
      <x:c r="B11" s="12" t="str">
        <x:v>P1</x:v>
      </x:c>
      <x:c r="C11" s="12" t="str">
        <x:v>unknown来源桶与证据独立性容易混用</x:v>
      </x:c>
      <x:c r="D11" s="12" t="str">
        <x:v>索引族允许unknown；RRF说明没有给未知服务稳定的分组身份。</x:v>
      </x:c>
      <x:c r="E11" s="12" t="str">
        <x:v>部分采纳</x:v>
      </x:c>
      <x:c r="F11" s="12" t="str">
        <x:v>保留RRF，补稳定服务贡献桶；不把所有unknown合并，也不声明未知来源独立。</x:v>
      </x:c>
      <x:c r="G11" s="12" t="str">
        <x:v>SEARCH-03, RANK-02</x:v>
      </x:c>
      <x:c r="H11" s="12" t="str">
        <x:v>已修订</x:v>
      </x:c>
      <x:c r="I11" s="12" t="str">
        <x:v>未实现</x:v>
      </x:c>
      <x:c r="J11" s="12" t="str">
        <x:v>未执行</x:v>
      </x:c>
    </x:row>
    <x:row r="12" ht="92" customHeight="1">
      <x:c r="A12" s="12" t="str">
        <x:v>RV-08</x:v>
      </x:c>
      <x:c r="B12" s="12" t="str">
        <x:v>P0</x:v>
      </x:c>
      <x:c r="C12" s="12" t="str">
        <x:v>向量索引在线更新缺少并发合同</x:v>
      </x:c>
      <x:c r="D12" s="12" t="str">
        <x:v>计划有异步写入/查询/重建，但未约束同一HNSW实例并发访问与发布切换。</x:v>
      </x:c>
      <x:c r="E12" s="12" t="str">
        <x:v>部分采纳</x:v>
      </x:c>
      <x:c r="F12" s="12" t="str">
        <x:v>保留hnswlib候选；应用锁/单writer/代际切换/水位与版本准入；不立即改成重型数据库。</x:v>
      </x:c>
      <x:c r="G12" s="12" t="str">
        <x:v>INDEX-02, INDEX-03</x:v>
      </x:c>
      <x:c r="H12" s="12" t="str">
        <x:v>已修订</x:v>
      </x:c>
      <x:c r="I12" s="12" t="str">
        <x:v>未实现</x:v>
      </x:c>
      <x:c r="J12" s="12" t="str">
        <x:v>未执行</x:v>
      </x:c>
    </x:row>
    <x:row r="13" ht="92" customHeight="1">
      <x:c r="A13" s="12" t="str">
        <x:v>RV-09</x:v>
      </x:c>
      <x:c r="B13" s="12" t="str">
        <x:v>P1</x:v>
      </x:c>
      <x:c r="C13" s="12" t="str">
        <x:v>高风险技术验证没有可交付工作包</x:v>
      </x:c>
      <x:c r="D13" s="12" t="str">
        <x:v>CDP跨平台隔离、中文FTS映射、PDF构建仅在文字里提到spike。</x:v>
      </x:c>
      <x:c r="E13" s="12" t="str">
        <x:v>采纳</x:v>
      </x:c>
      <x:c r="F13" s="12" t="str">
        <x:v>新增SPIKE-01并设前置依赖与ADR退出条件。</x:v>
      </x:c>
      <x:c r="G13" s="12" t="str">
        <x:v>SPIKE-01, READ-02, DOC-01, INDEX-01</x:v>
      </x:c>
      <x:c r="H13" s="12" t="str">
        <x:v>已修订</x:v>
      </x:c>
      <x:c r="I13" s="12" t="str">
        <x:v>未实现</x:v>
      </x:c>
      <x:c r="J13" s="12" t="str">
        <x:v>未执行</x:v>
      </x:c>
    </x:row>
    <x:row r="14" ht="92" customHeight="1">
      <x:c r="A14" s="12" t="str">
        <x:v>RV-10</x:v>
      </x:c>
      <x:c r="B14" s="12" t="str">
        <x:v>P0</x:v>
      </x:c>
      <x:c r="C14" s="12" t="str">
        <x:v>来源数量门禁不能证明通用网页能力</x:v>
      </x:c>
      <x:c r="D14" s="12" t="str">
        <x:v>M1只要求3–5来源，可被全是学术/馆藏的来源满足。</x:v>
      </x:c>
      <x:c r="E14" s="12" t="str">
        <x:v>采纳</x:v>
      </x:c>
      <x:c r="F14" s="12" t="str">
        <x:v>web上线必须至少一个真实审核web来源和固定查询报告；不足不签web Alpha。</x:v>
      </x:c>
      <x:c r="G14" s="12" t="str">
        <x:v>SRC-04</x:v>
      </x:c>
      <x:c r="H14" s="12" t="str">
        <x:v>已修订</x:v>
      </x:c>
      <x:c r="I14" s="12" t="str">
        <x:v>未实现</x:v>
      </x:c>
      <x:c r="J14" s="12" t="str">
        <x:v>未执行</x:v>
      </x:c>
    </x:row>
    <x:row r="15" ht="92" customHeight="1">
      <x:c r="A15" s="12" t="str">
        <x:v>RV-11</x:v>
      </x:c>
      <x:c r="B15" s="12" t="str">
        <x:v>P0</x:v>
      </x:c>
      <x:c r="C15" s="12" t="str">
        <x:v>从旧备份恢复的撤销水位来源不完整</x:v>
      </x:c>
      <x:c r="D15" s="12" t="str">
        <x:v>要求重放最新tombstone，但若日志和DB一起回滚则无法证明最新性。</x:v>
      </x:c>
      <x:c r="E15" s="12" t="str">
        <x:v>采纳</x:v>
      </x:c>
      <x:c r="F15" s="12" t="str">
        <x:v>独立保护的撤销journal+水位；恢复隔离，不能验证则fail-closed。</x:v>
      </x:c>
      <x:c r="G15" s="12" t="str">
        <x:v>BACKUP-00, AUTH-01, OPS-02</x:v>
      </x:c>
      <x:c r="H15" s="12" t="str">
        <x:v>已修订</x:v>
      </x:c>
      <x:c r="I15" s="12" t="str">
        <x:v>未实现</x:v>
      </x:c>
      <x:c r="J15" s="12" t="str">
        <x:v>未执行</x:v>
      </x:c>
    </x:row>
    <x:row r="16" ht="92" customHeight="1">
      <x:c r="A16" s="12" t="str">
        <x:v>RV-12</x:v>
      </x:c>
      <x:c r="B16" s="12" t="str">
        <x:v>P1</x:v>
      </x:c>
      <x:c r="C16" s="12" t="str">
        <x:v>多来源订阅需要分源推进与交付事务</x:v>
      </x:c>
      <x:c r="D16" s="12" t="str">
        <x:v>当前成功水位没有足够明确地拆source；一次部分失败可能阻塞或漏扫。</x:v>
      </x:c>
      <x:c r="E16" s="12" t="str">
        <x:v>采纳</x:v>
      </x:c>
      <x:c r="F16" s="12" t="str">
        <x:v>分源checkpoint、重叠扫描、outbox、event_id去重和交付状态。</x:v>
      </x:c>
      <x:c r="G16" s="12" t="str">
        <x:v>WATCH-01, WEBHOOK-01</x:v>
      </x:c>
      <x:c r="H16" s="12" t="str">
        <x:v>已修订</x:v>
      </x:c>
      <x:c r="I16" s="12" t="str">
        <x:v>未实现</x:v>
      </x:c>
      <x:c r="J16" s="12" t="str">
        <x:v>未执行</x:v>
      </x:c>
    </x:row>
    <x:row r="17" ht="92" customHeight="1">
      <x:c r="A17" s="12" t="str">
        <x:v>RV-13</x:v>
      </x:c>
      <x:c r="B17" s="12" t="str">
        <x:v>P1</x:v>
      </x:c>
      <x:c r="C17" s="12" t="str">
        <x:v>依赖无环不等于依赖完整</x:v>
      </x:c>
      <x:c r="D17" s="12" t="str">
        <x:v>JOB仅依赖CONTRACT，持久化/授权并未成为前置；基础Highlights不必被模型阻塞。</x:v>
      </x:c>
      <x:c r="E17" s="12" t="str">
        <x:v>采纳</x:v>
      </x:c>
      <x:c r="F17" s="12" t="str">
        <x:v>补STORE/AUTH/QA依赖；移除EVID基础对MODEL的硬依赖，增强路径仍单验。</x:v>
      </x:c>
      <x:c r="G17" s="12" t="str">
        <x:v>JOB-01, EVID-01, SEARCH-01</x:v>
      </x:c>
      <x:c r="H17" s="12" t="str">
        <x:v>已修订</x:v>
      </x:c>
      <x:c r="I17" s="12" t="str">
        <x:v>未实现</x:v>
      </x:c>
      <x:c r="J17" s="12" t="str">
        <x:v>未执行</x:v>
      </x:c>
    </x:row>
    <x:row r="18" ht="92" customHeight="1">
      <x:c r="A18" s="12" t="str">
        <x:v>RV-14</x:v>
      </x:c>
      <x:c r="B18" s="12" t="str">
        <x:v>P1</x:v>
      </x:c>
      <x:c r="C18" s="12" t="str">
        <x:v>质量门禁需要冻结过程而非待定承诺</x:v>
      </x:c>
      <x:c r="D18" s="12" t="str">
        <x:v>计划列指标但环境、阈值和留出集冻结的责任/阻断规则不够明确。</x:v>
      </x:c>
      <x:c r="E18" s="12" t="str">
        <x:v>采纳</x:v>
      </x:c>
      <x:c r="F18" s="12" t="str">
        <x:v>设G0基线与逐阶段门禁文件；未知阈值不得标通过，保留覆盖率与弃答率。</x:v>
      </x:c>
      <x:c r="G18" s="12" t="str">
        <x:v>QA-02, SPIKE-01</x:v>
      </x:c>
      <x:c r="H18" s="12" t="str">
        <x:v>已修订</x:v>
      </x:c>
      <x:c r="I18" s="12" t="str">
        <x:v>未实现</x:v>
      </x:c>
      <x:c r="J18" s="12" t="str">
        <x:v>未执行</x:v>
      </x:c>
    </x:row>
    <x:row r="19" ht="92" customHeight="1">
      <x:c r="A19" s="12" t="str">
        <x:v>RV-15</x:v>
      </x:c>
      <x:c r="B19" s="12" t="str">
        <x:v>P1</x:v>
      </x:c>
      <x:c r="C19" s="12" t="str">
        <x:v>任务预算不能代替总存储与回压</x:v>
      </x:c>
      <x:c r="D19" s="12" t="str">
        <x:v>单任务bytes已有约束，但blob、媒体、事件、导出与GC的累计容量未闭合。</x:v>
      </x:c>
      <x:c r="E19" s="12" t="str">
        <x:v>采纳</x:v>
      </x:c>
      <x:c r="F19" s="12" t="str">
        <x:v>分类配额、高低水位、并发预留、GC引用pin和磁盘满恢复用例。</x:v>
      </x:c>
      <x:c r="G19" s="12" t="str">
        <x:v>STORE-01, JOB-01, CACHE-01</x:v>
      </x:c>
      <x:c r="H19" s="12" t="str">
        <x:v>已修订</x:v>
      </x:c>
      <x:c r="I19" s="12" t="str">
        <x:v>未实现</x:v>
      </x:c>
      <x:c r="J19" s="12" t="str">
        <x:v>未执行</x:v>
      </x:c>
    </x:row>
    <x:row r="20" ht="92" customHeight="1">
      <x:c r="A20" s="12" t="str">
        <x:v>RV-16</x:v>
      </x:c>
      <x:c r="B20" s="12" t="str">
        <x:v>P1</x:v>
      </x:c>
      <x:c r="C20" s="12" t="str">
        <x:v>独立review需要可验证执行与版本绑定</x:v>
      </x:c>
      <x:c r="D20" s="12" t="str">
        <x:v>工作包要求独立review，但没有reviewer/run/input-hash输出合同，容易与作者自审混同。</x:v>
      </x:c>
      <x:c r="E20" s="12" t="str">
        <x:v>采纳</x:v>
      </x:c>
      <x:c r="F20" s="12" t="str">
        <x:v>新增handoff模板和review状态/输入哈希；本轮明确未执行独立子Agent审核。</x:v>
      </x:c>
      <x:c r="G20" s="12" t="str">
        <x:v>GOV-01, CONTRACT-02</x:v>
      </x:c>
      <x:c r="H20" s="12" t="str">
        <x:v>已修订</x:v>
      </x:c>
      <x:c r="I20" s="12" t="str">
        <x:v>未实现</x:v>
      </x:c>
      <x:c r="J20" s="12" t="str">
        <x:v>未执行</x:v>
      </x:c>
    </x:row>
  </x:sheetData>
  <x:mergeCells>
    <x:mergeCell ref="A1:J1"/>
    <x:mergeCell ref="A2:J2"/>
  </x:mergeCells>
  <x:conditionalFormatting sqref="E5:E20">
    <x:cfRule type="expression" dxfId="2" priority="1">
      <x:formula>E5="部分采纳"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e1e91c15924622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38" hidden="0" customWidth="1"/>
  </x:cols>
  <x:sheetData>
    <x:row r="1" ht="32" customHeight="1">
      <x:c r="A1" s="64" t="str">
        <x:v>工量变更账本</x:v>
      </x:c>
      <x:c r="B1" s="64"/>
      <x:c r="C1" s="64"/>
      <x:c r="D1" s="64"/>
      <x:c r="E1" s="64"/>
      <x:c r="F1" s="64"/>
      <x:c r="G1" s="64"/>
      <x:c r="H1" s="64"/>
      <x:c r="I1" s="64"/>
    </x:row>
    <x:row r="2" ht="38" customHeight="1">
      <x:c r="A2" s="66" t="str">
        <x:v>单位：人日，均为规划估算。原包减量＋新切片增量逐项列出，不是实际工时。</x:v>
      </x:c>
      <x:c r="B2" s="66"/>
      <x:c r="C2" s="66"/>
      <x:c r="D2" s="66"/>
      <x:c r="E2" s="66"/>
      <x:c r="F2" s="66"/>
      <x:c r="G2" s="66"/>
      <x:c r="H2" s="66"/>
      <x:c r="I2" s="66"/>
    </x:row>
    <x:row r="4" ht="26" customHeight="1">
      <x:c r="A4" s="69" t="str">
        <x:v>任务</x:v>
      </x:c>
      <x:c r="B4" s="69" t="str">
        <x:v>功能</x:v>
      </x:c>
      <x:c r="C4" s="69" t="str">
        <x:v>旧下限</x:v>
      </x:c>
      <x:c r="D4" s="69" t="str">
        <x:v>旧上限</x:v>
      </x:c>
      <x:c r="E4" s="69" t="str">
        <x:v>新下限</x:v>
      </x:c>
      <x:c r="F4" s="69" t="str">
        <x:v>新上限</x:v>
      </x:c>
      <x:c r="G4" s="69" t="str">
        <x:v>下限差</x:v>
      </x:c>
      <x:c r="H4" s="69" t="str">
        <x:v>上限差</x:v>
      </x:c>
      <x:c r="I4" s="69" t="str">
        <x:v>原因</x:v>
      </x:c>
    </x:row>
    <x:row r="5" ht="40" customHeight="1">
      <x:c r="A5" s="12" t="str">
        <x:v>DEV-005</x:v>
      </x:c>
      <x:c r="B5" s="12" t="str">
        <x:v>JOB-01</x:v>
      </x:c>
      <x:c r="C5" s="12" t="n">
        <x:v>8</x:v>
      </x:c>
      <x:c r="D5" s="12" t="n">
        <x:v>14</x:v>
      </x:c>
      <x:c r="E5" s="12" t="n">
        <x:f>'开发任务'!G9</x:f>
        <x:v>9</x:v>
      </x:c>
      <x:c r="F5" s="12" t="n">
        <x:f>'开发任务'!H9</x:f>
        <x:v>16</x:v>
      </x:c>
      <x:c r="G5" s="12" t="n">
        <x:f>E5-C5</x:f>
        <x:v>1</x:v>
      </x:c>
      <x:c r="H5" s="12" t="n">
        <x:f>F5-D5</x:f>
        <x:v>2</x:v>
      </x:c>
      <x:c r="I5" s="12" t="str">
        <x:v>新增可靠性/验收工作</x:v>
      </x:c>
    </x:row>
    <x:row r="6" ht="40" customHeight="1">
      <x:c r="A6" s="12" t="str">
        <x:v>DEV-006</x:v>
      </x:c>
      <x:c r="B6" s="12" t="str">
        <x:v>STORE-01</x:v>
      </x:c>
      <x:c r="C6" s="12" t="n">
        <x:v>6</x:v>
      </x:c>
      <x:c r="D6" s="12" t="n">
        <x:v>10</x:v>
      </x:c>
      <x:c r="E6" s="12" t="n">
        <x:f>'开发任务'!G10</x:f>
        <x:v>7</x:v>
      </x:c>
      <x:c r="F6" s="12" t="n">
        <x:f>'开发任务'!H10</x:f>
        <x:v>12</x:v>
      </x:c>
      <x:c r="G6" s="12" t="n">
        <x:f>E6-C6</x:f>
        <x:v>1</x:v>
      </x:c>
      <x:c r="H6" s="12" t="n">
        <x:f>F6-D6</x:f>
        <x:v>2</x:v>
      </x:c>
      <x:c r="I6" s="12" t="str">
        <x:v>新增可靠性/验收工作</x:v>
      </x:c>
    </x:row>
    <x:row r="7" ht="40" customHeight="1">
      <x:c r="A7" s="12" t="str">
        <x:v>DEV-012</x:v>
      </x:c>
      <x:c r="B7" s="12" t="str">
        <x:v>SRC-04</x:v>
      </x:c>
      <x:c r="C7" s="12" t="n">
        <x:v>10</x:v>
      </x:c>
      <x:c r="D7" s="12" t="n">
        <x:v>18</x:v>
      </x:c>
      <x:c r="E7" s="12" t="n">
        <x:f>'开发任务'!G16</x:f>
        <x:v>11</x:v>
      </x:c>
      <x:c r="F7" s="12" t="n">
        <x:f>'开发任务'!H16</x:f>
        <x:v>20</x:v>
      </x:c>
      <x:c r="G7" s="12" t="n">
        <x:f>E7-C7</x:f>
        <x:v>1</x:v>
      </x:c>
      <x:c r="H7" s="12" t="n">
        <x:f>F7-D7</x:f>
        <x:v>2</x:v>
      </x:c>
      <x:c r="I7" s="12" t="str">
        <x:v>新增可靠性/验收工作</x:v>
      </x:c>
    </x:row>
    <x:row r="8" ht="40" customHeight="1">
      <x:c r="A8" s="12" t="str">
        <x:v>DEV-029</x:v>
      </x:c>
      <x:c r="B8" s="12" t="str">
        <x:v>CRAWL-03</x:v>
      </x:c>
      <x:c r="C8" s="12" t="n">
        <x:v>5</x:v>
      </x:c>
      <x:c r="D8" s="12" t="n">
        <x:v>8</x:v>
      </x:c>
      <x:c r="E8" s="12" t="n">
        <x:f>'开发任务'!G33</x:f>
        <x:v>3</x:v>
      </x:c>
      <x:c r="F8" s="12" t="n">
        <x:f>'开发任务'!H33</x:f>
        <x:v>5</x:v>
      </x:c>
      <x:c r="G8" s="12" t="n">
        <x:f>E8-C8</x:f>
        <x:v>-2</x:v>
      </x:c>
      <x:c r="H8" s="12" t="n">
        <x:f>F8-D8</x:f>
        <x:v>-3</x:v>
      </x:c>
      <x:c r="I8" s="12" t="str">
        <x:v>拆分职责后的剩余估算</x:v>
      </x:c>
    </x:row>
    <x:row r="9" ht="40" customHeight="1">
      <x:c r="A9" s="12" t="str">
        <x:v>DEV-042</x:v>
      </x:c>
      <x:c r="B9" s="12" t="str">
        <x:v>QA-02</x:v>
      </x:c>
      <x:c r="C9" s="12" t="n">
        <x:v>5</x:v>
      </x:c>
      <x:c r="D9" s="12" t="n">
        <x:v>9</x:v>
      </x:c>
      <x:c r="E9" s="12" t="n">
        <x:f>'开发任务'!G46</x:f>
        <x:v>6</x:v>
      </x:c>
      <x:c r="F9" s="12" t="n">
        <x:f>'开发任务'!H46</x:f>
        <x:v>11</x:v>
      </x:c>
      <x:c r="G9" s="12" t="n">
        <x:f>E9-C9</x:f>
        <x:v>1</x:v>
      </x:c>
      <x:c r="H9" s="12" t="n">
        <x:f>F9-D9</x:f>
        <x:v>2</x:v>
      </x:c>
      <x:c r="I9" s="12" t="str">
        <x:v>新增可靠性/验收工作</x:v>
      </x:c>
    </x:row>
    <x:row r="10" ht="40" customHeight="1">
      <x:c r="A10" s="12" t="str">
        <x:v>DEV-046</x:v>
      </x:c>
      <x:c r="B10" s="12" t="str">
        <x:v>INDEX-02</x:v>
      </x:c>
      <x:c r="C10" s="12" t="n">
        <x:v>8</x:v>
      </x:c>
      <x:c r="D10" s="12" t="n">
        <x:v>14</x:v>
      </x:c>
      <x:c r="E10" s="12" t="n">
        <x:f>'开发任务'!G50</x:f>
        <x:v>10</x:v>
      </x:c>
      <x:c r="F10" s="12" t="n">
        <x:f>'开发任务'!H50</x:f>
        <x:v>17</x:v>
      </x:c>
      <x:c r="G10" s="12" t="n">
        <x:f>E10-C10</x:f>
        <x:v>2</x:v>
      </x:c>
      <x:c r="H10" s="12" t="n">
        <x:f>F10-D10</x:f>
        <x:v>3</x:v>
      </x:c>
      <x:c r="I10" s="12" t="str">
        <x:v>新增可靠性/验收工作</x:v>
      </x:c>
    </x:row>
    <x:row r="11" ht="40" customHeight="1">
      <x:c r="A11" s="12" t="str">
        <x:v>DEV-068</x:v>
      </x:c>
      <x:c r="B11" s="12" t="str">
        <x:v>WATCH-01</x:v>
      </x:c>
      <x:c r="C11" s="12" t="n">
        <x:v>7</x:v>
      </x:c>
      <x:c r="D11" s="12" t="n">
        <x:v>12</x:v>
      </x:c>
      <x:c r="E11" s="12" t="n">
        <x:f>'开发任务'!G72</x:f>
        <x:v>8</x:v>
      </x:c>
      <x:c r="F11" s="12" t="n">
        <x:f>'开发任务'!H72</x:f>
        <x:v>14</x:v>
      </x:c>
      <x:c r="G11" s="12" t="n">
        <x:f>E11-C11</x:f>
        <x:v>1</x:v>
      </x:c>
      <x:c r="H11" s="12" t="n">
        <x:f>F11-D11</x:f>
        <x:v>2</x:v>
      </x:c>
      <x:c r="I11" s="12" t="str">
        <x:v>新增可靠性/验收工作</x:v>
      </x:c>
    </x:row>
    <x:row r="12" ht="40" customHeight="1">
      <x:c r="A12" s="12" t="str">
        <x:v>DEV-071</x:v>
      </x:c>
      <x:c r="B12" s="12" t="str">
        <x:v>API-01</x:v>
      </x:c>
      <x:c r="C12" s="12" t="n">
        <x:v>7</x:v>
      </x:c>
      <x:c r="D12" s="12" t="n">
        <x:v>12</x:v>
      </x:c>
      <x:c r="E12" s="12" t="n">
        <x:f>'开发任务'!G75</x:f>
        <x:v>4</x:v>
      </x:c>
      <x:c r="F12" s="12" t="n">
        <x:f>'开发任务'!H75</x:f>
        <x:v>7</x:v>
      </x:c>
      <x:c r="G12" s="12" t="n">
        <x:f>E12-C12</x:f>
        <x:v>-3</x:v>
      </x:c>
      <x:c r="H12" s="12" t="n">
        <x:f>F12-D12</x:f>
        <x:v>-5</x:v>
      </x:c>
      <x:c r="I12" s="12" t="str">
        <x:v>拆分职责后的剩余估算</x:v>
      </x:c>
    </x:row>
    <x:row r="13" ht="40" customHeight="1">
      <x:c r="A13" s="12" t="str">
        <x:v>DEV-073</x:v>
      </x:c>
      <x:c r="B13" s="12" t="str">
        <x:v>OPS-01</x:v>
      </x:c>
      <x:c r="C13" s="12" t="n">
        <x:v>5</x:v>
      </x:c>
      <x:c r="D13" s="12" t="n">
        <x:v>9</x:v>
      </x:c>
      <x:c r="E13" s="12" t="n">
        <x:f>'开发任务'!G77</x:f>
        <x:v>3</x:v>
      </x:c>
      <x:c r="F13" s="12" t="n">
        <x:f>'开发任务'!H77</x:f>
        <x:v>5</x:v>
      </x:c>
      <x:c r="G13" s="12" t="n">
        <x:f>E13-C13</x:f>
        <x:v>-2</x:v>
      </x:c>
      <x:c r="H13" s="12" t="n">
        <x:f>F13-D13</x:f>
        <x:v>-4</x:v>
      </x:c>
      <x:c r="I13" s="12" t="str">
        <x:v>拆分职责后的剩余估算</x:v>
      </x:c>
    </x:row>
    <x:row r="14" ht="40" customHeight="1">
      <x:c r="A14" s="12" t="str">
        <x:v>DEV-074</x:v>
      </x:c>
      <x:c r="B14" s="12" t="str">
        <x:v>OPS-02</x:v>
      </x:c>
      <x:c r="C14" s="12" t="n">
        <x:v>6</x:v>
      </x:c>
      <x:c r="D14" s="12" t="n">
        <x:v>10</x:v>
      </x:c>
      <x:c r="E14" s="12" t="n">
        <x:f>'开发任务'!G78</x:f>
        <x:v>4</x:v>
      </x:c>
      <x:c r="F14" s="12" t="n">
        <x:f>'开发任务'!H78</x:f>
        <x:v>6</x:v>
      </x:c>
      <x:c r="G14" s="12" t="n">
        <x:f>E14-C14</x:f>
        <x:v>-2</x:v>
      </x:c>
      <x:c r="H14" s="12" t="n">
        <x:f>F14-D14</x:f>
        <x:v>-4</x:v>
      </x:c>
      <x:c r="I14" s="12" t="str">
        <x:v>拆分职责后的剩余估算</x:v>
      </x:c>
    </x:row>
    <x:row r="15" ht="40" customHeight="1">
      <x:c r="A15" s="12" t="str">
        <x:v>DEV-078</x:v>
      </x:c>
      <x:c r="B15" s="12" t="str">
        <x:v>API-00</x:v>
      </x:c>
      <x:c r="C15" s="12" t="n">
        <x:v>0</x:v>
      </x:c>
      <x:c r="D15" s="12" t="n">
        <x:v>0</x:v>
      </x:c>
      <x:c r="E15" s="12" t="n">
        <x:f>'开发任务'!G82</x:f>
        <x:v>4</x:v>
      </x:c>
      <x:c r="F15" s="12" t="n">
        <x:f>'开发任务'!H82</x:f>
        <x:v>7</x:v>
      </x:c>
      <x:c r="G15" s="12" t="n">
        <x:f>E15-C15</x:f>
        <x:v>4</x:v>
      </x:c>
      <x:c r="H15" s="12" t="n">
        <x:f>F15-D15</x:f>
        <x:v>7</x:v>
      </x:c>
      <x:c r="I15" s="12" t="str">
        <x:v>新增前置工作包</x:v>
      </x:c>
    </x:row>
    <x:row r="16" ht="40" customHeight="1">
      <x:c r="A16" s="12" t="str">
        <x:v>DEV-079</x:v>
      </x:c>
      <x:c r="B16" s="12" t="str">
        <x:v>OPS-00</x:v>
      </x:c>
      <x:c r="C16" s="12" t="n">
        <x:v>0</x:v>
      </x:c>
      <x:c r="D16" s="12" t="n">
        <x:v>0</x:v>
      </x:c>
      <x:c r="E16" s="12" t="n">
        <x:f>'开发任务'!G83</x:f>
        <x:v>3</x:v>
      </x:c>
      <x:c r="F16" s="12" t="n">
        <x:f>'开发任务'!H83</x:f>
        <x:v>5</x:v>
      </x:c>
      <x:c r="G16" s="12" t="n">
        <x:f>E16-C16</x:f>
        <x:v>3</x:v>
      </x:c>
      <x:c r="H16" s="12" t="n">
        <x:f>F16-D16</x:f>
        <x:v>5</x:v>
      </x:c>
      <x:c r="I16" s="12" t="str">
        <x:v>新增前置工作包</x:v>
      </x:c>
    </x:row>
    <x:row r="17" ht="40" customHeight="1">
      <x:c r="A17" s="12" t="str">
        <x:v>DEV-080</x:v>
      </x:c>
      <x:c r="B17" s="12" t="str">
        <x:v>BACKUP-00</x:v>
      </x:c>
      <x:c r="C17" s="12" t="n">
        <x:v>0</x:v>
      </x:c>
      <x:c r="D17" s="12" t="n">
        <x:v>0</x:v>
      </x:c>
      <x:c r="E17" s="12" t="n">
        <x:f>'开发任务'!G84</x:f>
        <x:v>4</x:v>
      </x:c>
      <x:c r="F17" s="12" t="n">
        <x:f>'开发任务'!H84</x:f>
        <x:v>7</x:v>
      </x:c>
      <x:c r="G17" s="12" t="n">
        <x:f>E17-C17</x:f>
        <x:v>4</x:v>
      </x:c>
      <x:c r="H17" s="12" t="n">
        <x:f>F17-D17</x:f>
        <x:v>7</x:v>
      </x:c>
      <x:c r="I17" s="12" t="str">
        <x:v>新增前置工作包</x:v>
      </x:c>
    </x:row>
    <x:row r="18" ht="40" customHeight="1">
      <x:c r="A18" s="12" t="str">
        <x:v>DEV-081</x:v>
      </x:c>
      <x:c r="B18" s="12" t="str">
        <x:v>ROBOTS-01</x:v>
      </x:c>
      <x:c r="C18" s="12" t="n">
        <x:v>0</x:v>
      </x:c>
      <x:c r="D18" s="12" t="n">
        <x:v>0</x:v>
      </x:c>
      <x:c r="E18" s="12" t="n">
        <x:f>'开发任务'!G85</x:f>
        <x:v>3</x:v>
      </x:c>
      <x:c r="F18" s="12" t="n">
        <x:f>'开发任务'!H85</x:f>
        <x:v>5</x:v>
      </x:c>
      <x:c r="G18" s="12" t="n">
        <x:f>E18-C18</x:f>
        <x:v>3</x:v>
      </x:c>
      <x:c r="H18" s="12" t="n">
        <x:f>F18-D18</x:f>
        <x:v>5</x:v>
      </x:c>
      <x:c r="I18" s="12" t="str">
        <x:v>新增前置工作包</x:v>
      </x:c>
    </x:row>
    <x:row r="19" ht="40" customHeight="1">
      <x:c r="A19" s="12" t="str">
        <x:v>DEV-082</x:v>
      </x:c>
      <x:c r="B19" s="12" t="str">
        <x:v>SPIKE-01</x:v>
      </x:c>
      <x:c r="C19" s="12" t="n">
        <x:v>0</x:v>
      </x:c>
      <x:c r="D19" s="12" t="n">
        <x:v>0</x:v>
      </x:c>
      <x:c r="E19" s="12" t="n">
        <x:f>'开发任务'!G86</x:f>
        <x:v>5</x:v>
      </x:c>
      <x:c r="F19" s="12" t="n">
        <x:f>'开发任务'!H86</x:f>
        <x:v>8</x:v>
      </x:c>
      <x:c r="G19" s="12" t="n">
        <x:f>E19-C19</x:f>
        <x:v>5</x:v>
      </x:c>
      <x:c r="H19" s="12" t="n">
        <x:f>F19-D19</x:f>
        <x:v>8</x:v>
      </x:c>
      <x:c r="I19" s="12" t="str">
        <x:v>新增前置工作包</x:v>
      </x:c>
    </x:row>
    <x:row r="20" ht="40" customHeight="1">
      <x:c r="A20" s="12" t="str">
        <x:v>DEV-083</x:v>
      </x:c>
      <x:c r="B20" s="12" t="str">
        <x:v>CONTRACT-02</x:v>
      </x:c>
      <x:c r="C20" s="12" t="n">
        <x:v>0</x:v>
      </x:c>
      <x:c r="D20" s="12" t="n">
        <x:v>0</x:v>
      </x:c>
      <x:c r="E20" s="12" t="n">
        <x:f>'开发任务'!G87</x:f>
        <x:v>3</x:v>
      </x:c>
      <x:c r="F20" s="12" t="n">
        <x:f>'开发任务'!H87</x:f>
        <x:v>5</x:v>
      </x:c>
      <x:c r="G20" s="12" t="n">
        <x:f>E20-C20</x:f>
        <x:v>3</x:v>
      </x:c>
      <x:c r="H20" s="12" t="n">
        <x:f>F20-D20</x:f>
        <x:v>5</x:v>
      </x:c>
      <x:c r="I20" s="12" t="str">
        <x:v>新增前置工作包</x:v>
      </x:c>
    </x:row>
    <x:row r="22">
      <x:c r="A22" t="str">
        <x:v>总增量</x:v>
      </x:c>
      <x:c r="B22"/>
      <x:c r="C22"/>
      <x:c r="D22"/>
      <x:c r="G22" t="n">
        <x:f>SUM(G5:G20)</x:f>
        <x:v>20</x:v>
      </x:c>
      <x:c r="H22" t="n">
        <x:f>SUM(H5:H20)</x:f>
        <x:v>34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7aa1d25c22a49a2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10" hidden="0" customWidth="1"/>
    <x:col min="4" max="4" width="46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</x:cols>
  <x:sheetData>
    <x:row r="1" ht="32" customHeight="1">
      <x:c r="A1" s="64" t="str">
        <x:v>开发依赖与串行链工作量</x:v>
      </x:c>
      <x:c r="B1" s="64"/>
      <x:c r="C1" s="64"/>
      <x:c r="D1" s="64"/>
      <x:c r="E1" s="64"/>
      <x:c r="F1" s="64"/>
      <x:c r="G1" s="64"/>
      <x:c r="H1" s="64"/>
    </x:row>
    <x:row r="2" ht="38" customHeight="1">
      <x:c r="A2" s="66" t="str">
        <x:v>链上工作量不是日历工期；未配置团队/资源，不生成发布日期。公式随任务人日变化，依赖变更需重建拓扑。</x:v>
      </x:c>
      <x:c r="B2" s="66"/>
      <x:c r="C2" s="66"/>
      <x:c r="D2" s="66"/>
      <x:c r="E2" s="66"/>
      <x:c r="F2" s="66"/>
      <x:c r="G2" s="66"/>
      <x:c r="H2" s="66"/>
    </x:row>
    <x:row r="4" ht="26" customHeight="1">
      <x:c r="A4" s="69" t="str">
        <x:v>任务</x:v>
      </x:c>
      <x:c r="B4" s="69" t="str">
        <x:v>功能</x:v>
      </x:c>
      <x:c r="C4" s="69" t="str">
        <x:v>阶段</x:v>
      </x:c>
      <x:c r="D4" s="69" t="str">
        <x:v>前置功能</x:v>
      </x:c>
      <x:c r="E4" s="69" t="str">
        <x:v>本包低</x:v>
      </x:c>
      <x:c r="F4" s="69" t="str">
        <x:v>本包高</x:v>
      </x:c>
      <x:c r="G4" s="69" t="str">
        <x:v>链低人日</x:v>
      </x:c>
      <x:c r="H4" s="69" t="str">
        <x:v>链高人日</x:v>
      </x:c>
    </x:row>
    <x:row r="5" ht="42" customHeight="1">
      <x:c r="A5" s="12" t="str">
        <x:v>DEV-001</x:v>
      </x:c>
      <x:c r="B5" s="12" t="str">
        <x:v>GOV-01</x:v>
      </x:c>
      <x:c r="C5" s="12" t="str">
        <x:v>M0</x:v>
      </x:c>
      <x:c r="D5" s="12" t="str"/>
      <x:c r="E5" s="12" t="n">
        <x:f>'开发任务'!G5</x:f>
        <x:v>3</x:v>
      </x:c>
      <x:c r="F5" s="12" t="n">
        <x:f>'开发任务'!H5</x:f>
        <x:v>5</x:v>
      </x:c>
      <x:c r="G5" s="12" t="n">
        <x:f>E5</x:f>
        <x:v>3</x:v>
      </x:c>
      <x:c r="H5" s="12" t="n">
        <x:f>F5</x:f>
        <x:v>5</x:v>
      </x:c>
    </x:row>
    <x:row r="6" ht="42" customHeight="1">
      <x:c r="A6" s="12" t="str">
        <x:v>DEV-002</x:v>
      </x:c>
      <x:c r="B6" s="12" t="str">
        <x:v>CORE-01</x:v>
      </x:c>
      <x:c r="C6" s="12" t="str">
        <x:v>M0</x:v>
      </x:c>
      <x:c r="D6" s="12" t="str">
        <x:v>GOV-01</x:v>
      </x:c>
      <x:c r="E6" s="12" t="n">
        <x:f>'开发任务'!G6</x:f>
        <x:v>5</x:v>
      </x:c>
      <x:c r="F6" s="12" t="n">
        <x:f>'开发任务'!H6</x:f>
        <x:v>9</x:v>
      </x:c>
      <x:c r="G6" s="12" t="n">
        <x:f>E6 + MAX(G5)</x:f>
        <x:v>8</x:v>
      </x:c>
      <x:c r="H6" s="12" t="n">
        <x:f>F6 + MAX(H5)</x:f>
        <x:v>14</x:v>
      </x:c>
    </x:row>
    <x:row r="7" ht="42" customHeight="1">
      <x:c r="A7" s="12" t="str">
        <x:v>DEV-003</x:v>
      </x:c>
      <x:c r="B7" s="12" t="str">
        <x:v>CONTRACT-01</x:v>
      </x:c>
      <x:c r="C7" s="12" t="str">
        <x:v>M0</x:v>
      </x:c>
      <x:c r="D7" s="12" t="str">
        <x:v>CORE-01</x:v>
      </x:c>
      <x:c r="E7" s="12" t="n">
        <x:f>'开发任务'!G7</x:f>
        <x:v>4</x:v>
      </x:c>
      <x:c r="F7" s="12" t="n">
        <x:f>'开发任务'!H7</x:f>
        <x:v>7</x:v>
      </x:c>
      <x:c r="G7" s="12" t="n">
        <x:f>E7 + MAX(G6)</x:f>
        <x:v>12</x:v>
      </x:c>
      <x:c r="H7" s="12" t="n">
        <x:f>F7 + MAX(H6)</x:f>
        <x:v>21</x:v>
      </x:c>
    </x:row>
    <x:row r="8" ht="42" customHeight="1">
      <x:c r="A8" s="12" t="str">
        <x:v>DEV-004</x:v>
      </x:c>
      <x:c r="B8" s="12" t="str">
        <x:v>SEC-01</x:v>
      </x:c>
      <x:c r="C8" s="12" t="str">
        <x:v>M0</x:v>
      </x:c>
      <x:c r="D8" s="12" t="str">
        <x:v>CONTRACT-01</x:v>
      </x:c>
      <x:c r="E8" s="12" t="n">
        <x:f>'开发任务'!G8</x:f>
        <x:v>7</x:v>
      </x:c>
      <x:c r="F8" s="12" t="n">
        <x:f>'开发任务'!H8</x:f>
        <x:v>12</x:v>
      </x:c>
      <x:c r="G8" s="12" t="n">
        <x:f>E8 + MAX(G7)</x:f>
        <x:v>19</x:v>
      </x:c>
      <x:c r="H8" s="12" t="n">
        <x:f>F8 + MAX(H7)</x:f>
        <x:v>33</x:v>
      </x:c>
    </x:row>
    <x:row r="9" ht="42" customHeight="1">
      <x:c r="A9" s="12" t="str">
        <x:v>DEV-006</x:v>
      </x:c>
      <x:c r="B9" s="12" t="str">
        <x:v>STORE-01</x:v>
      </x:c>
      <x:c r="C9" s="12" t="str">
        <x:v>M0</x:v>
      </x:c>
      <x:c r="D9" s="12" t="str">
        <x:v>CONTRACT-01</x:v>
      </x:c>
      <x:c r="E9" s="12" t="n">
        <x:f>'开发任务'!G10</x:f>
        <x:v>7</x:v>
      </x:c>
      <x:c r="F9" s="12" t="n">
        <x:f>'开发任务'!H10</x:f>
        <x:v>12</x:v>
      </x:c>
      <x:c r="G9" s="12" t="n">
        <x:f>E9 + MAX(G7)</x:f>
        <x:v>19</x:v>
      </x:c>
      <x:c r="H9" s="12" t="n">
        <x:f>F9 + MAX(H7)</x:f>
        <x:v>33</x:v>
      </x:c>
    </x:row>
    <x:row r="10" ht="42" customHeight="1">
      <x:c r="A10" s="12" t="str">
        <x:v>DEV-008</x:v>
      </x:c>
      <x:c r="B10" s="12" t="str">
        <x:v>QA-01</x:v>
      </x:c>
      <x:c r="C10" s="12" t="str">
        <x:v>M0</x:v>
      </x:c>
      <x:c r="D10" s="12" t="str">
        <x:v>CONTRACT-01</x:v>
      </x:c>
      <x:c r="E10" s="12" t="n">
        <x:f>'开发任务'!G12</x:f>
        <x:v>5</x:v>
      </x:c>
      <x:c r="F10" s="12" t="n">
        <x:f>'开发任务'!H12</x:f>
        <x:v>8</x:v>
      </x:c>
      <x:c r="G10" s="12" t="n">
        <x:f>E10 + MAX(G7)</x:f>
        <x:v>17</x:v>
      </x:c>
      <x:c r="H10" s="12" t="n">
        <x:f>F10 + MAX(H7)</x:f>
        <x:v>29</x:v>
      </x:c>
    </x:row>
    <x:row r="11" ht="42" customHeight="1">
      <x:c r="A11" s="12" t="str">
        <x:v>DEV-013</x:v>
      </x:c>
      <x:c r="B11" s="12" t="str">
        <x:v>QRY-01</x:v>
      </x:c>
      <x:c r="C11" s="12" t="str">
        <x:v>M1</x:v>
      </x:c>
      <x:c r="D11" s="12" t="str">
        <x:v>CONTRACT-01</x:v>
      </x:c>
      <x:c r="E11" s="12" t="n">
        <x:f>'开发任务'!G17</x:f>
        <x:v>5</x:v>
      </x:c>
      <x:c r="F11" s="12" t="n">
        <x:f>'开发任务'!H17</x:f>
        <x:v>9</x:v>
      </x:c>
      <x:c r="G11" s="12" t="n">
        <x:f>E11 + MAX(G7)</x:f>
        <x:v>17</x:v>
      </x:c>
      <x:c r="H11" s="12" t="n">
        <x:f>F11 + MAX(H7)</x:f>
        <x:v>30</x:v>
      </x:c>
    </x:row>
    <x:row r="12" ht="42" customHeight="1">
      <x:c r="A12" s="12" t="str">
        <x:v>DEV-007</x:v>
      </x:c>
      <x:c r="B12" s="12" t="str">
        <x:v>AUTH-01</x:v>
      </x:c>
      <x:c r="C12" s="12" t="str">
        <x:v>M0</x:v>
      </x:c>
      <x:c r="D12" s="12" t="str">
        <x:v>STORE-01</x:v>
      </x:c>
      <x:c r="E12" s="12" t="n">
        <x:f>'开发任务'!G11</x:f>
        <x:v>6</x:v>
      </x:c>
      <x:c r="F12" s="12" t="n">
        <x:f>'开发任务'!H11</x:f>
        <x:v>10</x:v>
      </x:c>
      <x:c r="G12" s="12" t="n">
        <x:f>E12 + MAX(G9)</x:f>
        <x:v>25</x:v>
      </x:c>
      <x:c r="H12" s="12" t="n">
        <x:f>F12 + MAX(H9)</x:f>
        <x:v>43</x:v>
      </x:c>
    </x:row>
    <x:row r="13" ht="42" customHeight="1">
      <x:c r="A13" s="12" t="str">
        <x:v>DEV-082</x:v>
      </x:c>
      <x:c r="B13" s="12" t="str">
        <x:v>SPIKE-01</x:v>
      </x:c>
      <x:c r="C13" s="12" t="str">
        <x:v>M0</x:v>
      </x:c>
      <x:c r="D13" s="12" t="str">
        <x:v>CONTRACT-01, SEC-01, QA-01</x:v>
      </x:c>
      <x:c r="E13" s="12" t="n">
        <x:f>'开发任务'!G86</x:f>
        <x:v>5</x:v>
      </x:c>
      <x:c r="F13" s="12" t="n">
        <x:f>'开发任务'!H86</x:f>
        <x:v>8</x:v>
      </x:c>
      <x:c r="G13" s="12" t="n">
        <x:f>E13 + MAX(G7,G8,G10)</x:f>
        <x:v>24</x:v>
      </x:c>
      <x:c r="H13" s="12" t="n">
        <x:f>F13 + MAX(H7,H8,H10)</x:f>
        <x:v>41</x:v>
      </x:c>
    </x:row>
    <x:row r="14" ht="42" customHeight="1">
      <x:c r="A14" s="12" t="str">
        <x:v>DEV-083</x:v>
      </x:c>
      <x:c r="B14" s="12" t="str">
        <x:v>CONTRACT-02</x:v>
      </x:c>
      <x:c r="C14" s="12" t="str">
        <x:v>M0</x:v>
      </x:c>
      <x:c r="D14" s="12" t="str">
        <x:v>CONTRACT-01, QA-01</x:v>
      </x:c>
      <x:c r="E14" s="12" t="n">
        <x:f>'开发任务'!G87</x:f>
        <x:v>3</x:v>
      </x:c>
      <x:c r="F14" s="12" t="n">
        <x:f>'开发任务'!H87</x:f>
        <x:v>5</x:v>
      </x:c>
      <x:c r="G14" s="12" t="n">
        <x:f>E14 + MAX(G7,G10)</x:f>
        <x:v>20</x:v>
      </x:c>
      <x:c r="H14" s="12" t="n">
        <x:f>F14 + MAX(H7,H10)</x:f>
        <x:v>34</x:v>
      </x:c>
    </x:row>
    <x:row r="15" ht="42" customHeight="1">
      <x:c r="A15" s="12" t="str">
        <x:v>DEV-014</x:v>
      </x:c>
      <x:c r="B15" s="12" t="str">
        <x:v>QRY-02</x:v>
      </x:c>
      <x:c r="C15" s="12" t="str">
        <x:v>M1</x:v>
      </x:c>
      <x:c r="D15" s="12" t="str">
        <x:v>QRY-01</x:v>
      </x:c>
      <x:c r="E15" s="12" t="n">
        <x:f>'开发任务'!G18</x:f>
        <x:v>4</x:v>
      </x:c>
      <x:c r="F15" s="12" t="n">
        <x:f>'开发任务'!H18</x:f>
        <x:v>7</x:v>
      </x:c>
      <x:c r="G15" s="12" t="n">
        <x:f>E15 + MAX(G11)</x:f>
        <x:v>21</x:v>
      </x:c>
      <x:c r="H15" s="12" t="n">
        <x:f>F15 + MAX(H11)</x:f>
        <x:v>37</x:v>
      </x:c>
    </x:row>
    <x:row r="16" ht="42" customHeight="1">
      <x:c r="A16" s="12" t="str">
        <x:v>DEV-005</x:v>
      </x:c>
      <x:c r="B16" s="12" t="str">
        <x:v>JOB-01</x:v>
      </x:c>
      <x:c r="C16" s="12" t="str">
        <x:v>M0</x:v>
      </x:c>
      <x:c r="D16" s="12" t="str">
        <x:v>CONTRACT-01, STORE-01, AUTH-01, QA-01</x:v>
      </x:c>
      <x:c r="E16" s="12" t="n">
        <x:f>'开发任务'!G9</x:f>
        <x:v>9</x:v>
      </x:c>
      <x:c r="F16" s="12" t="n">
        <x:f>'开发任务'!H9</x:f>
        <x:v>16</x:v>
      </x:c>
      <x:c r="G16" s="12" t="n">
        <x:f>E16 + MAX(G7,G9,G12,G10)</x:f>
        <x:v>34</x:v>
      </x:c>
      <x:c r="H16" s="12" t="n">
        <x:f>F16 + MAX(H7,H9,H12,H10)</x:f>
        <x:v>59</x:v>
      </x:c>
    </x:row>
    <x:row r="17" ht="42" customHeight="1">
      <x:c r="A17" s="12" t="str">
        <x:v>DEV-048</x:v>
      </x:c>
      <x:c r="B17" s="12" t="str">
        <x:v>EVID-02</x:v>
      </x:c>
      <x:c r="C17" s="12" t="str">
        <x:v>M4</x:v>
      </x:c>
      <x:c r="D17" s="12" t="str">
        <x:v>STORE-01, AUTH-01</x:v>
      </x:c>
      <x:c r="E17" s="12" t="n">
        <x:f>'开发任务'!G52</x:f>
        <x:v>3</x:v>
      </x:c>
      <x:c r="F17" s="12" t="n">
        <x:f>'开发任务'!H52</x:f>
        <x:v>5</x:v>
      </x:c>
      <x:c r="G17" s="12" t="n">
        <x:f>E17 + MAX(G9,G12)</x:f>
        <x:v>28</x:v>
      </x:c>
      <x:c r="H17" s="12" t="n">
        <x:f>F17 + MAX(H9,H12)</x:f>
        <x:v>48</x:v>
      </x:c>
    </x:row>
    <x:row r="18" ht="42" customHeight="1">
      <x:c r="A18" s="12" t="str">
        <x:v>DEV-009</x:v>
      </x:c>
      <x:c r="B18" s="12" t="str">
        <x:v>SRC-01</x:v>
      </x:c>
      <x:c r="C18" s="12" t="str">
        <x:v>M1</x:v>
      </x:c>
      <x:c r="D18" s="12" t="str">
        <x:v>GOV-01, CONTRACT-02</x:v>
      </x:c>
      <x:c r="E18" s="12" t="n">
        <x:f>'开发任务'!G13</x:f>
        <x:v>5</x:v>
      </x:c>
      <x:c r="F18" s="12" t="n">
        <x:f>'开发任务'!H13</x:f>
        <x:v>9</x:v>
      </x:c>
      <x:c r="G18" s="12" t="n">
        <x:f>E18 + MAX(G5,G14)</x:f>
        <x:v>25</x:v>
      </x:c>
      <x:c r="H18" s="12" t="n">
        <x:f>F18 + MAX(H5,H14)</x:f>
        <x:v>43</x:v>
      </x:c>
    </x:row>
    <x:row r="19" ht="42" customHeight="1">
      <x:c r="A19" s="12" t="str">
        <x:v>DEV-078</x:v>
      </x:c>
      <x:c r="B19" s="12" t="str">
        <x:v>API-00</x:v>
      </x:c>
      <x:c r="C19" s="12" t="str">
        <x:v>M1</x:v>
      </x:c>
      <x:c r="D19" s="12" t="str">
        <x:v>CONTRACT-02, AUTH-01, JOB-01, QA-01</x:v>
      </x:c>
      <x:c r="E19" s="12" t="n">
        <x:f>'开发任务'!G82</x:f>
        <x:v>4</x:v>
      </x:c>
      <x:c r="F19" s="12" t="n">
        <x:f>'开发任务'!H82</x:f>
        <x:v>7</x:v>
      </x:c>
      <x:c r="G19" s="12" t="n">
        <x:f>E19 + MAX(G14,G12,G16,G10)</x:f>
        <x:v>38</x:v>
      </x:c>
      <x:c r="H19" s="12" t="n">
        <x:f>F19 + MAX(H14,H12,H16,H10)</x:f>
        <x:v>66</x:v>
      </x:c>
    </x:row>
    <x:row r="20" ht="42" customHeight="1">
      <x:c r="A20" s="12" t="str">
        <x:v>DEV-079</x:v>
      </x:c>
      <x:c r="B20" s="12" t="str">
        <x:v>OPS-00</x:v>
      </x:c>
      <x:c r="C20" s="12" t="str">
        <x:v>M0</x:v>
      </x:c>
      <x:c r="D20" s="12" t="str">
        <x:v>CONTRACT-01, JOB-01, AUTH-01</x:v>
      </x:c>
      <x:c r="E20" s="12" t="n">
        <x:f>'开发任务'!G83</x:f>
        <x:v>3</x:v>
      </x:c>
      <x:c r="F20" s="12" t="n">
        <x:f>'开发任务'!H83</x:f>
        <x:v>5</x:v>
      </x:c>
      <x:c r="G20" s="12" t="n">
        <x:f>E20 + MAX(G7,G16,G12)</x:f>
        <x:v>37</x:v>
      </x:c>
      <x:c r="H20" s="12" t="n">
        <x:f>F20 + MAX(H7,H16,H12)</x:f>
        <x:v>64</x:v>
      </x:c>
    </x:row>
    <x:row r="21" ht="42" customHeight="1">
      <x:c r="A21" s="12" t="str">
        <x:v>DEV-080</x:v>
      </x:c>
      <x:c r="B21" s="12" t="str">
        <x:v>BACKUP-00</x:v>
      </x:c>
      <x:c r="C21" s="12" t="str">
        <x:v>M0</x:v>
      </x:c>
      <x:c r="D21" s="12" t="str">
        <x:v>STORE-01, AUTH-01, JOB-01, QA-01</x:v>
      </x:c>
      <x:c r="E21" s="12" t="n">
        <x:f>'开发任务'!G84</x:f>
        <x:v>4</x:v>
      </x:c>
      <x:c r="F21" s="12" t="n">
        <x:f>'开发任务'!H84</x:f>
        <x:v>7</x:v>
      </x:c>
      <x:c r="G21" s="12" t="n">
        <x:f>E21 + MAX(G9,G12,G16,G10)</x:f>
        <x:v>38</x:v>
      </x:c>
      <x:c r="H21" s="12" t="n">
        <x:f>F21 + MAX(H9,H12,H16,H10)</x:f>
        <x:v>66</x:v>
      </x:c>
    </x:row>
    <x:row r="22" ht="42" customHeight="1">
      <x:c r="A22" s="12" t="str">
        <x:v>DEV-010</x:v>
      </x:c>
      <x:c r="B22" s="12" t="str">
        <x:v>SRC-02</x:v>
      </x:c>
      <x:c r="C22" s="12" t="str">
        <x:v>M1</x:v>
      </x:c>
      <x:c r="D22" s="12" t="str">
        <x:v>SRC-01, JOB-01</x:v>
      </x:c>
      <x:c r="E22" s="12" t="n">
        <x:f>'开发任务'!G14</x:f>
        <x:v>4</x:v>
      </x:c>
      <x:c r="F22" s="12" t="n">
        <x:f>'开发任务'!H14</x:f>
        <x:v>7</x:v>
      </x:c>
      <x:c r="G22" s="12" t="n">
        <x:f>E22 + MAX(G18,G16)</x:f>
        <x:v>38</x:v>
      </x:c>
      <x:c r="H22" s="12" t="n">
        <x:f>F22 + MAX(H18,H16)</x:f>
        <x:v>66</x:v>
      </x:c>
    </x:row>
    <x:row r="23" ht="42" customHeight="1">
      <x:c r="A23" s="12" t="str">
        <x:v>DEV-011</x:v>
      </x:c>
      <x:c r="B23" s="12" t="str">
        <x:v>SRC-03</x:v>
      </x:c>
      <x:c r="C23" s="12" t="str">
        <x:v>M1</x:v>
      </x:c>
      <x:c r="D23" s="12" t="str">
        <x:v>SRC-01, CONTRACT-01</x:v>
      </x:c>
      <x:c r="E23" s="12" t="n">
        <x:f>'开发任务'!G15</x:f>
        <x:v>4</x:v>
      </x:c>
      <x:c r="F23" s="12" t="n">
        <x:f>'开发任务'!H15</x:f>
        <x:v>7</x:v>
      </x:c>
      <x:c r="G23" s="12" t="n">
        <x:f>E23 + MAX(G18,G7)</x:f>
        <x:v>29</x:v>
      </x:c>
      <x:c r="H23" s="12" t="n">
        <x:f>F23 + MAX(H18,H7)</x:f>
        <x:v>50</x:v>
      </x:c>
    </x:row>
    <x:row r="24" ht="42" customHeight="1">
      <x:c r="A24" s="12" t="str">
        <x:v>DEV-081</x:v>
      </x:c>
      <x:c r="B24" s="12" t="str">
        <x:v>ROBOTS-01</x:v>
      </x:c>
      <x:c r="C24" s="12" t="str">
        <x:v>M1</x:v>
      </x:c>
      <x:c r="D24" s="12" t="str">
        <x:v>SEC-01, JOB-01, SRC-01, QA-01</x:v>
      </x:c>
      <x:c r="E24" s="12" t="n">
        <x:f>'开发任务'!G85</x:f>
        <x:v>3</x:v>
      </x:c>
      <x:c r="F24" s="12" t="n">
        <x:f>'开发任务'!H85</x:f>
        <x:v>5</x:v>
      </x:c>
      <x:c r="G24" s="12" t="n">
        <x:f>E24 + MAX(G8,G16,G18,G10)</x:f>
        <x:v>37</x:v>
      </x:c>
      <x:c r="H24" s="12" t="n">
        <x:f>F24 + MAX(H8,H16,H18,H10)</x:f>
        <x:v>64</x:v>
      </x:c>
    </x:row>
    <x:row r="25" ht="42" customHeight="1">
      <x:c r="A25" s="12" t="str">
        <x:v>DEV-021</x:v>
      </x:c>
      <x:c r="B25" s="12" t="str">
        <x:v>READ-01</x:v>
      </x:c>
      <x:c r="C25" s="12" t="str">
        <x:v>M2</x:v>
      </x:c>
      <x:c r="D25" s="12" t="str">
        <x:v>SEC-01, JOB-01, STORE-01, AUTH-01, OPS-00</x:v>
      </x:c>
      <x:c r="E25" s="12" t="n">
        <x:f>'开发任务'!G25</x:f>
        <x:v>6</x:v>
      </x:c>
      <x:c r="F25" s="12" t="n">
        <x:f>'开发任务'!H25</x:f>
        <x:v>10</x:v>
      </x:c>
      <x:c r="G25" s="12" t="n">
        <x:f>E25 + MAX(G8,G16,G9,G12,G20)</x:f>
        <x:v>43</x:v>
      </x:c>
      <x:c r="H25" s="12" t="n">
        <x:f>F25 + MAX(H8,H16,H9,H12,H20)</x:f>
        <x:v>74</x:v>
      </x:c>
    </x:row>
    <x:row r="26" ht="42" customHeight="1">
      <x:c r="A26" s="12" t="str">
        <x:v>DEV-043</x:v>
      </x:c>
      <x:c r="B26" s="12" t="str">
        <x:v>MODEL-01</x:v>
      </x:c>
      <x:c r="C26" s="12" t="str">
        <x:v>M4</x:v>
      </x:c>
      <x:c r="D26" s="12" t="str">
        <x:v>CONTRACT-02, SEC-01, AUTH-01, OPS-00</x:v>
      </x:c>
      <x:c r="E26" s="12" t="n">
        <x:f>'开发任务'!G47</x:f>
        <x:v>6</x:v>
      </x:c>
      <x:c r="F26" s="12" t="n">
        <x:f>'开发任务'!H47</x:f>
        <x:v>10</x:v>
      </x:c>
      <x:c r="G26" s="12" t="n">
        <x:f>E26 + MAX(G14,G8,G12,G20)</x:f>
        <x:v>43</x:v>
      </x:c>
      <x:c r="H26" s="12" t="n">
        <x:f>F26 + MAX(H14,H8,H12,H20)</x:f>
        <x:v>74</x:v>
      </x:c>
    </x:row>
    <x:row r="27" ht="42" customHeight="1">
      <x:c r="A27" s="12" t="str">
        <x:v>DEV-012</x:v>
      </x:c>
      <x:c r="B27" s="12" t="str">
        <x:v>SRC-04</x:v>
      </x:c>
      <x:c r="C27" s="12" t="str">
        <x:v>M1</x:v>
      </x:c>
      <x:c r="D27" s="12" t="str">
        <x:v>SRC-02, SRC-03, SEC-01, QA-01, QRY-01</x:v>
      </x:c>
      <x:c r="E27" s="12" t="n">
        <x:f>'开发任务'!G16</x:f>
        <x:v>11</x:v>
      </x:c>
      <x:c r="F27" s="12" t="n">
        <x:f>'开发任务'!H16</x:f>
        <x:v>20</x:v>
      </x:c>
      <x:c r="G27" s="12" t="n">
        <x:f>E27 + MAX(G22,G23,G8,G10,G11)</x:f>
        <x:v>49</x:v>
      </x:c>
      <x:c r="H27" s="12" t="n">
        <x:f>F27 + MAX(H22,H23,H8,H10,H11)</x:f>
        <x:v>86</x:v>
      </x:c>
    </x:row>
    <x:row r="28" ht="42" customHeight="1">
      <x:c r="A28" s="12" t="str">
        <x:v>DEV-022</x:v>
      </x:c>
      <x:c r="B28" s="12" t="str">
        <x:v>READ-02</x:v>
      </x:c>
      <x:c r="C28" s="12" t="str">
        <x:v>M2</x:v>
      </x:c>
      <x:c r="D28" s="12" t="str">
        <x:v>READ-01, SEC-01, SPIKE-01</x:v>
      </x:c>
      <x:c r="E28" s="12" t="n">
        <x:f>'开发任务'!G26</x:f>
        <x:v>9</x:v>
      </x:c>
      <x:c r="F28" s="12" t="n">
        <x:f>'开发任务'!H26</x:f>
        <x:v>16</x:v>
      </x:c>
      <x:c r="G28" s="12" t="n">
        <x:f>E28 + MAX(G25,G8,G13)</x:f>
        <x:v>52</x:v>
      </x:c>
      <x:c r="H28" s="12" t="n">
        <x:f>F28 + MAX(H25,H8,H13)</x:f>
        <x:v>90</x:v>
      </x:c>
    </x:row>
    <x:row r="29" ht="42" customHeight="1">
      <x:c r="A29" s="12" t="str">
        <x:v>DEV-023</x:v>
      </x:c>
      <x:c r="B29" s="12" t="str">
        <x:v>READ-03</x:v>
      </x:c>
      <x:c r="C29" s="12" t="str">
        <x:v>M2</x:v>
      </x:c>
      <x:c r="D29" s="12" t="str">
        <x:v>READ-01, STORE-01</x:v>
      </x:c>
      <x:c r="E29" s="12" t="n">
        <x:f>'开发任务'!G27</x:f>
        <x:v>8</x:v>
      </x:c>
      <x:c r="F29" s="12" t="n">
        <x:f>'开发任务'!H27</x:f>
        <x:v>14</x:v>
      </x:c>
      <x:c r="G29" s="12" t="n">
        <x:f>E29 + MAX(G25,G9)</x:f>
        <x:v>51</x:v>
      </x:c>
      <x:c r="H29" s="12" t="n">
        <x:f>F29 + MAX(H25,H9)</x:f>
        <x:v>88</x:v>
      </x:c>
    </x:row>
    <x:row r="30" ht="42" customHeight="1">
      <x:c r="A30" s="12" t="str">
        <x:v>DEV-015</x:v>
      </x:c>
      <x:c r="B30" s="12" t="str">
        <x:v>SEARCH-01</x:v>
      </x:c>
      <x:c r="C30" s="12" t="str">
        <x:v>M1</x:v>
      </x:c>
      <x:c r="D30" s="12" t="str">
        <x:v>SRC-04, QRY-01, QRY-02, JOB-01, AUTH-01, CONTRACT-02</x:v>
      </x:c>
      <x:c r="E30" s="12" t="n">
        <x:f>'开发任务'!G19</x:f>
        <x:v>6</x:v>
      </x:c>
      <x:c r="F30" s="12" t="n">
        <x:f>'开发任务'!H19</x:f>
        <x:v>10</x:v>
      </x:c>
      <x:c r="G30" s="12" t="n">
        <x:f>E30 + MAX(G27,G11,G15,G16,G12,G14)</x:f>
        <x:v>55</x:v>
      </x:c>
      <x:c r="H30" s="12" t="n">
        <x:f>F30 + MAX(H27,H11,H15,H16,H12,H14)</x:f>
        <x:v>96</x:v>
      </x:c>
    </x:row>
    <x:row r="31" ht="42" customHeight="1">
      <x:c r="A31" s="12" t="str">
        <x:v>DEV-024</x:v>
      </x:c>
      <x:c r="B31" s="12" t="str">
        <x:v>READ-05</x:v>
      </x:c>
      <x:c r="C31" s="12" t="str">
        <x:v>M2</x:v>
      </x:c>
      <x:c r="D31" s="12" t="str">
        <x:v>READ-02, AUTH-01</x:v>
      </x:c>
      <x:c r="E31" s="12" t="n">
        <x:f>'开发任务'!G28</x:f>
        <x:v>4</x:v>
      </x:c>
      <x:c r="F31" s="12" t="n">
        <x:f>'开发任务'!H28</x:f>
        <x:v>7</x:v>
      </x:c>
      <x:c r="G31" s="12" t="n">
        <x:f>E31 + MAX(G28,G12)</x:f>
        <x:v>56</x:v>
      </x:c>
      <x:c r="H31" s="12" t="n">
        <x:f>F31 + MAX(H28,H12)</x:f>
        <x:v>97</x:v>
      </x:c>
    </x:row>
    <x:row r="32" ht="42" customHeight="1">
      <x:c r="A32" s="12" t="str">
        <x:v>DEV-025</x:v>
      </x:c>
      <x:c r="B32" s="12" t="str">
        <x:v>DOC-01</x:v>
      </x:c>
      <x:c r="C32" s="12" t="str">
        <x:v>M2</x:v>
      </x:c>
      <x:c r="D32" s="12" t="str">
        <x:v>READ-01, READ-03, SPIKE-01</x:v>
      </x:c>
      <x:c r="E32" s="12" t="n">
        <x:f>'开发任务'!G29</x:f>
        <x:v>8</x:v>
      </x:c>
      <x:c r="F32" s="12" t="n">
        <x:f>'开发任务'!H29</x:f>
        <x:v>14</x:v>
      </x:c>
      <x:c r="G32" s="12" t="n">
        <x:f>E32 + MAX(G25,G29,G13)</x:f>
        <x:v>59</x:v>
      </x:c>
      <x:c r="H32" s="12" t="n">
        <x:f>F32 + MAX(H25,H29,H13)</x:f>
        <x:v>102</x:v>
      </x:c>
    </x:row>
    <x:row r="33" ht="42" customHeight="1">
      <x:c r="A33" s="12" t="str">
        <x:v>DEV-027</x:v>
      </x:c>
      <x:c r="B33" s="12" t="str">
        <x:v>MAP-01</x:v>
      </x:c>
      <x:c r="C33" s="12" t="str">
        <x:v>M2</x:v>
      </x:c>
      <x:c r="D33" s="12" t="str">
        <x:v>READ-03, JOB-01</x:v>
      </x:c>
      <x:c r="E33" s="12" t="n">
        <x:f>'开发任务'!G31</x:f>
        <x:v>5</x:v>
      </x:c>
      <x:c r="F33" s="12" t="n">
        <x:f>'开发任务'!H31</x:f>
        <x:v>9</x:v>
      </x:c>
      <x:c r="G33" s="12" t="n">
        <x:f>E33 + MAX(G29,G16)</x:f>
        <x:v>56</x:v>
      </x:c>
      <x:c r="H33" s="12" t="n">
        <x:f>F33 + MAX(H29,H16)</x:f>
        <x:v>97</x:v>
      </x:c>
    </x:row>
    <x:row r="34" ht="42" customHeight="1">
      <x:c r="A34" s="12" t="str">
        <x:v>DEV-029</x:v>
      </x:c>
      <x:c r="B34" s="12" t="str">
        <x:v>CRAWL-03</x:v>
      </x:c>
      <x:c r="C34" s="12" t="str">
        <x:v>M2</x:v>
      </x:c>
      <x:c r="D34" s="12" t="str">
        <x:v>ROBOTS-01, READ-03</x:v>
      </x:c>
      <x:c r="E34" s="12" t="n">
        <x:f>'开发任务'!G33</x:f>
        <x:v>3</x:v>
      </x:c>
      <x:c r="F34" s="12" t="n">
        <x:f>'开发任务'!H33</x:f>
        <x:v>5</x:v>
      </x:c>
      <x:c r="G34" s="12" t="n">
        <x:f>E34 + MAX(G24,G29)</x:f>
        <x:v>54</x:v>
      </x:c>
      <x:c r="H34" s="12" t="n">
        <x:f>F34 + MAX(H24,H29)</x:f>
        <x:v>93</x:v>
      </x:c>
    </x:row>
    <x:row r="35" ht="42" customHeight="1">
      <x:c r="A35" s="12" t="str">
        <x:v>DEV-030</x:v>
      </x:c>
      <x:c r="B35" s="12" t="str">
        <x:v>INDEX-01</x:v>
      </x:c>
      <x:c r="C35" s="12" t="str">
        <x:v>M2</x:v>
      </x:c>
      <x:c r="D35" s="12" t="str">
        <x:v>STORE-01, AUTH-01, READ-03, SPIKE-01</x:v>
      </x:c>
      <x:c r="E35" s="12" t="n">
        <x:f>'开发任务'!G34</x:f>
        <x:v>7</x:v>
      </x:c>
      <x:c r="F35" s="12" t="n">
        <x:f>'开发任务'!H34</x:f>
        <x:v>12</x:v>
      </x:c>
      <x:c r="G35" s="12" t="n">
        <x:f>E35 + MAX(G9,G12,G29,G13)</x:f>
        <x:v>58</x:v>
      </x:c>
      <x:c r="H35" s="12" t="n">
        <x:f>F35 + MAX(H9,H12,H29,H13)</x:f>
        <x:v>100</x:v>
      </x:c>
    </x:row>
    <x:row r="36" ht="42" customHeight="1">
      <x:c r="A36" s="12" t="str">
        <x:v>DEV-016</x:v>
      </x:c>
      <x:c r="B36" s="12" t="str">
        <x:v>SEARCH-03</x:v>
      </x:c>
      <x:c r="C36" s="12" t="str">
        <x:v>M1</x:v>
      </x:c>
      <x:c r="D36" s="12" t="str">
        <x:v>SEARCH-01</x:v>
      </x:c>
      <x:c r="E36" s="12" t="n">
        <x:f>'开发任务'!G20</x:f>
        <x:v>5</x:v>
      </x:c>
      <x:c r="F36" s="12" t="n">
        <x:f>'开发任务'!H20</x:f>
        <x:v>9</x:v>
      </x:c>
      <x:c r="G36" s="12" t="n">
        <x:f>E36 + MAX(G30)</x:f>
        <x:v>60</x:v>
      </x:c>
      <x:c r="H36" s="12" t="n">
        <x:f>F36 + MAX(H30)</x:f>
        <x:v>105</x:v>
      </x:c>
    </x:row>
    <x:row r="37" ht="42" customHeight="1">
      <x:c r="A37" s="12" t="str">
        <x:v>DEV-019</x:v>
      </x:c>
      <x:c r="B37" s="12" t="str">
        <x:v>MODE-01</x:v>
      </x:c>
      <x:c r="C37" s="12" t="str">
        <x:v>M1</x:v>
      </x:c>
      <x:c r="D37" s="12" t="str">
        <x:v>SEARCH-01, SRC-02</x:v>
      </x:c>
      <x:c r="E37" s="12" t="n">
        <x:f>'开发任务'!G23</x:f>
        <x:v>3</x:v>
      </x:c>
      <x:c r="F37" s="12" t="n">
        <x:f>'开发任务'!H23</x:f>
        <x:v>5</x:v>
      </x:c>
      <x:c r="G37" s="12" t="n">
        <x:f>E37 + MAX(G30,G22)</x:f>
        <x:v>58</x:v>
      </x:c>
      <x:c r="H37" s="12" t="n">
        <x:f>F37 + MAX(H30,H22)</x:f>
        <x:v>101</x:v>
      </x:c>
    </x:row>
    <x:row r="38" ht="42" customHeight="1">
      <x:c r="A38" s="12" t="str">
        <x:v>DEV-026</x:v>
      </x:c>
      <x:c r="B38" s="12" t="str">
        <x:v>BATCH-01</x:v>
      </x:c>
      <x:c r="C38" s="12" t="str">
        <x:v>M2</x:v>
      </x:c>
      <x:c r="D38" s="12" t="str">
        <x:v>READ-02, DOC-01, JOB-01</x:v>
      </x:c>
      <x:c r="E38" s="12" t="n">
        <x:f>'开发任务'!G30</x:f>
        <x:v>3</x:v>
      </x:c>
      <x:c r="F38" s="12" t="n">
        <x:f>'开发任务'!H30</x:f>
        <x:v>5</x:v>
      </x:c>
      <x:c r="G38" s="12" t="n">
        <x:f>E38 + MAX(G28,G32,G16)</x:f>
        <x:v>62</x:v>
      </x:c>
      <x:c r="H38" s="12" t="n">
        <x:f>F38 + MAX(H28,H32,H16)</x:f>
        <x:v>107</x:v>
      </x:c>
    </x:row>
    <x:row r="39" ht="42" customHeight="1">
      <x:c r="A39" s="12" t="str">
        <x:v>DEV-031</x:v>
      </x:c>
      <x:c r="B39" s="12" t="str">
        <x:v>INDEX-03</x:v>
      </x:c>
      <x:c r="C39" s="12" t="str">
        <x:v>M2</x:v>
      </x:c>
      <x:c r="D39" s="12" t="str">
        <x:v>INDEX-01, CRAWL-03</x:v>
      </x:c>
      <x:c r="E39" s="12" t="n">
        <x:f>'开发任务'!G35</x:f>
        <x:v>6</x:v>
      </x:c>
      <x:c r="F39" s="12" t="n">
        <x:f>'开发任务'!H35</x:f>
        <x:v>10</x:v>
      </x:c>
      <x:c r="G39" s="12" t="n">
        <x:f>E39 + MAX(G35,G34)</x:f>
        <x:v>64</x:v>
      </x:c>
      <x:c r="H39" s="12" t="n">
        <x:f>F39 + MAX(H35,H34)</x:f>
        <x:v>110</x:v>
      </x:c>
    </x:row>
    <x:row r="40" ht="42" customHeight="1">
      <x:c r="A40" s="12" t="str">
        <x:v>DEV-033</x:v>
      </x:c>
      <x:c r="B40" s="12" t="str">
        <x:v>QRY-03</x:v>
      </x:c>
      <x:c r="C40" s="12" t="str">
        <x:v>M3</x:v>
      </x:c>
      <x:c r="D40" s="12" t="str">
        <x:v>QRY-02, INDEX-01</x:v>
      </x:c>
      <x:c r="E40" s="12" t="n">
        <x:f>'开发任务'!G37</x:f>
        <x:v>6</x:v>
      </x:c>
      <x:c r="F40" s="12" t="n">
        <x:f>'开发任务'!H37</x:f>
        <x:v>10</x:v>
      </x:c>
      <x:c r="G40" s="12" t="n">
        <x:f>E40 + MAX(G15,G35)</x:f>
        <x:v>64</x:v>
      </x:c>
      <x:c r="H40" s="12" t="n">
        <x:f>F40 + MAX(H15,H35)</x:f>
        <x:v>110</x:v>
      </x:c>
    </x:row>
    <x:row r="41" ht="42" customHeight="1">
      <x:c r="A41" s="12" t="str">
        <x:v>DEV-047</x:v>
      </x:c>
      <x:c r="B41" s="12" t="str">
        <x:v>EVID-01</x:v>
      </x:c>
      <x:c r="C41" s="12" t="str">
        <x:v>M4</x:v>
      </x:c>
      <x:c r="D41" s="12" t="str">
        <x:v>READ-03, INDEX-01, AUTH-01</x:v>
      </x:c>
      <x:c r="E41" s="12" t="n">
        <x:f>'开发任务'!G51</x:f>
        <x:v>5</x:v>
      </x:c>
      <x:c r="F41" s="12" t="n">
        <x:f>'开发任务'!H51</x:f>
        <x:v>8</x:v>
      </x:c>
      <x:c r="G41" s="12" t="n">
        <x:f>E41 + MAX(G29,G35,G12)</x:f>
        <x:v>63</x:v>
      </x:c>
      <x:c r="H41" s="12" t="n">
        <x:f>F41 + MAX(H29,H35,H12)</x:f>
        <x:v>108</x:v>
      </x:c>
    </x:row>
    <x:row r="42" ht="42" customHeight="1">
      <x:c r="A42" s="12" t="str">
        <x:v>DEV-017</x:v>
      </x:c>
      <x:c r="B42" s="12" t="str">
        <x:v>SESSION-01</x:v>
      </x:c>
      <x:c r="C42" s="12" t="str">
        <x:v>M1</x:v>
      </x:c>
      <x:c r="D42" s="12" t="str">
        <x:v>SEARCH-03, AUTH-01, STORE-01</x:v>
      </x:c>
      <x:c r="E42" s="12" t="n">
        <x:f>'开发任务'!G21</x:f>
        <x:v>6</x:v>
      </x:c>
      <x:c r="F42" s="12" t="n">
        <x:f>'开发任务'!H21</x:f>
        <x:v>10</x:v>
      </x:c>
      <x:c r="G42" s="12" t="n">
        <x:f>E42 + MAX(G36,G12,G9)</x:f>
        <x:v>66</x:v>
      </x:c>
      <x:c r="H42" s="12" t="n">
        <x:f>F42 + MAX(H36,H12,H9)</x:f>
        <x:v>115</x:v>
      </x:c>
    </x:row>
    <x:row r="43" ht="42" customHeight="1">
      <x:c r="A43" s="12" t="str">
        <x:v>DEV-037</x:v>
      </x:c>
      <x:c r="B43" s="12" t="str">
        <x:v>RANK-01</x:v>
      </x:c>
      <x:c r="C43" s="12" t="str">
        <x:v>M3</x:v>
      </x:c>
      <x:c r="D43" s="12" t="str">
        <x:v>SEARCH-03, READ-03</x:v>
      </x:c>
      <x:c r="E43" s="12" t="n">
        <x:f>'开发任务'!G41</x:f>
        <x:v>6</x:v>
      </x:c>
      <x:c r="F43" s="12" t="n">
        <x:f>'开发任务'!H41</x:f>
        <x:v>10</x:v>
      </x:c>
      <x:c r="G43" s="12" t="n">
        <x:f>E43 + MAX(G36,G29)</x:f>
        <x:v>66</x:v>
      </x:c>
      <x:c r="H43" s="12" t="n">
        <x:f>F43 + MAX(H36,H29)</x:f>
        <x:v>115</x:v>
      </x:c>
    </x:row>
    <x:row r="44" ht="42" customHeight="1">
      <x:c r="A44" s="12" t="str">
        <x:v>DEV-028</x:v>
      </x:c>
      <x:c r="B44" s="12" t="str">
        <x:v>CRAWL-01</x:v>
      </x:c>
      <x:c r="C44" s="12" t="str">
        <x:v>M2</x:v>
      </x:c>
      <x:c r="D44" s="12" t="str">
        <x:v>MAP-01, BATCH-01, SRC-02, ROBOTS-01</x:v>
      </x:c>
      <x:c r="E44" s="12" t="n">
        <x:f>'开发任务'!G32</x:f>
        <x:v>8</x:v>
      </x:c>
      <x:c r="F44" s="12" t="n">
        <x:f>'开发任务'!H32</x:f>
        <x:v>14</x:v>
      </x:c>
      <x:c r="G44" s="12" t="n">
        <x:f>E44 + MAX(G33,G38,G22,G24)</x:f>
        <x:v>70</x:v>
      </x:c>
      <x:c r="H44" s="12" t="n">
        <x:f>F44 + MAX(H33,H38,H22,H24)</x:f>
        <x:v>121</x:v>
      </x:c>
    </x:row>
    <x:row r="45" ht="42" customHeight="1">
      <x:c r="A45" s="12" t="str">
        <x:v>DEV-032</x:v>
      </x:c>
      <x:c r="B45" s="12" t="str">
        <x:v>CACHE-01</x:v>
      </x:c>
      <x:c r="C45" s="12" t="str">
        <x:v>M2</x:v>
      </x:c>
      <x:c r="D45" s="12" t="str">
        <x:v>READ-01, INDEX-03</x:v>
      </x:c>
      <x:c r="E45" s="12" t="n">
        <x:f>'开发任务'!G36</x:f>
        <x:v>6</x:v>
      </x:c>
      <x:c r="F45" s="12" t="n">
        <x:f>'开发任务'!H36</x:f>
        <x:v>10</x:v>
      </x:c>
      <x:c r="G45" s="12" t="n">
        <x:f>E45 + MAX(G25,G39)</x:f>
        <x:v>70</x:v>
      </x:c>
      <x:c r="H45" s="12" t="n">
        <x:f>F45 + MAX(H25,H39)</x:f>
        <x:v>120</x:v>
      </x:c>
    </x:row>
    <x:row r="46" ht="42" customHeight="1">
      <x:c r="A46" s="12" t="str">
        <x:v>DEV-034</x:v>
      </x:c>
      <x:c r="B46" s="12" t="str">
        <x:v>QRY-04</x:v>
      </x:c>
      <x:c r="C46" s="12" t="str">
        <x:v>M3</x:v>
      </x:c>
      <x:c r="D46" s="12" t="str">
        <x:v>SRC-03, READ-03, INDEX-03</x:v>
      </x:c>
      <x:c r="E46" s="12" t="n">
        <x:f>'开发任务'!G38</x:f>
        <x:v>6</x:v>
      </x:c>
      <x:c r="F46" s="12" t="n">
        <x:f>'开发任务'!H38</x:f>
        <x:v>10</x:v>
      </x:c>
      <x:c r="G46" s="12" t="n">
        <x:f>E46 + MAX(G23,G29,G39)</x:f>
        <x:v>70</x:v>
      </x:c>
      <x:c r="H46" s="12" t="n">
        <x:f>F46 + MAX(H23,H29,H39)</x:f>
        <x:v>120</x:v>
      </x:c>
    </x:row>
    <x:row r="47" ht="42" customHeight="1">
      <x:c r="A47" s="12" t="str">
        <x:v>DEV-058</x:v>
      </x:c>
      <x:c r="B47" s="12" t="str">
        <x:v>PRIVATE-01</x:v>
      </x:c>
      <x:c r="C47" s="12" t="str">
        <x:v>M5</x:v>
      </x:c>
      <x:c r="D47" s="12" t="str">
        <x:v>DOC-01, INDEX-03, AUTH-01</x:v>
      </x:c>
      <x:c r="E47" s="12" t="n">
        <x:f>'开发任务'!G62</x:f>
        <x:v>7</x:v>
      </x:c>
      <x:c r="F47" s="12" t="n">
        <x:f>'开发任务'!H62</x:f>
        <x:v>12</x:v>
      </x:c>
      <x:c r="G47" s="12" t="n">
        <x:f>E47 + MAX(G32,G39,G12)</x:f>
        <x:v>71</x:v>
      </x:c>
      <x:c r="H47" s="12" t="n">
        <x:f>F47 + MAX(H32,H39,H12)</x:f>
        <x:v>122</x:v>
      </x:c>
    </x:row>
    <x:row r="48" ht="42" customHeight="1">
      <x:c r="A48" s="12" t="str">
        <x:v>DEV-035</x:v>
      </x:c>
      <x:c r="B48" s="12" t="str">
        <x:v>QRY-05</x:v>
      </x:c>
      <x:c r="C48" s="12" t="str">
        <x:v>M3</x:v>
      </x:c>
      <x:c r="D48" s="12" t="str">
        <x:v>QRY-03</x:v>
      </x:c>
      <x:c r="E48" s="12" t="n">
        <x:f>'开发任务'!G39</x:f>
        <x:v>4</x:v>
      </x:c>
      <x:c r="F48" s="12" t="n">
        <x:f>'开发任务'!H39</x:f>
        <x:v>7</x:v>
      </x:c>
      <x:c r="G48" s="12" t="n">
        <x:f>E48 + MAX(G40)</x:f>
        <x:v>68</x:v>
      </x:c>
      <x:c r="H48" s="12" t="n">
        <x:f>F48 + MAX(H40)</x:f>
        <x:v>117</x:v>
      </x:c>
    </x:row>
    <x:row r="49" ht="42" customHeight="1">
      <x:c r="A49" s="12" t="str">
        <x:v>DEV-018</x:v>
      </x:c>
      <x:c r="B49" s="12" t="str">
        <x:v>SESSION-02</x:v>
      </x:c>
      <x:c r="C49" s="12" t="str">
        <x:v>M1</x:v>
      </x:c>
      <x:c r="D49" s="12" t="str">
        <x:v>SESSION-01, JOB-01</x:v>
      </x:c>
      <x:c r="E49" s="12" t="n">
        <x:f>'开发任务'!G22</x:f>
        <x:v>4</x:v>
      </x:c>
      <x:c r="F49" s="12" t="n">
        <x:f>'开发任务'!H22</x:f>
        <x:v>7</x:v>
      </x:c>
      <x:c r="G49" s="12" t="n">
        <x:f>E49 + MAX(G42,G16)</x:f>
        <x:v>70</x:v>
      </x:c>
      <x:c r="H49" s="12" t="n">
        <x:f>F49 + MAX(H42,H16)</x:f>
        <x:v>122</x:v>
      </x:c>
    </x:row>
    <x:row r="50" ht="42" customHeight="1">
      <x:c r="A50" s="12" t="str">
        <x:v>DEV-038</x:v>
      </x:c>
      <x:c r="B50" s="12" t="str">
        <x:v>RANK-02</x:v>
      </x:c>
      <x:c r="C50" s="12" t="str">
        <x:v>M3</x:v>
      </x:c>
      <x:c r="D50" s="12" t="str">
        <x:v>RANK-01, MODE-01</x:v>
      </x:c>
      <x:c r="E50" s="12" t="n">
        <x:f>'开发任务'!G42</x:f>
        <x:v>4</x:v>
      </x:c>
      <x:c r="F50" s="12" t="n">
        <x:f>'开发任务'!H42</x:f>
        <x:v>7</x:v>
      </x:c>
      <x:c r="G50" s="12" t="n">
        <x:f>E50 + MAX(G43,G37)</x:f>
        <x:v>70</x:v>
      </x:c>
      <x:c r="H50" s="12" t="n">
        <x:f>F50 + MAX(H43,H37)</x:f>
        <x:v>122</x:v>
      </x:c>
    </x:row>
    <x:row r="51" ht="42" customHeight="1">
      <x:c r="A51" s="12" t="str">
        <x:v>DEV-044</x:v>
      </x:c>
      <x:c r="B51" s="12" t="str">
        <x:v>MODEL-02</x:v>
      </x:c>
      <x:c r="C51" s="12" t="str">
        <x:v>M4</x:v>
      </x:c>
      <x:c r="D51" s="12" t="str">
        <x:v>MODEL-01, CACHE-01, AUTH-01</x:v>
      </x:c>
      <x:c r="E51" s="12" t="n">
        <x:f>'开发任务'!G48</x:f>
        <x:v>6</x:v>
      </x:c>
      <x:c r="F51" s="12" t="n">
        <x:f>'开发任务'!H48</x:f>
        <x:v>10</x:v>
      </x:c>
      <x:c r="G51" s="12" t="n">
        <x:f>E51 + MAX(G26,G45,G12)</x:f>
        <x:v>76</x:v>
      </x:c>
      <x:c r="H51" s="12" t="n">
        <x:f>F51 + MAX(H26,H45,H12)</x:f>
        <x:v>130</x:v>
      </x:c>
    </x:row>
    <x:row r="52" ht="42" customHeight="1">
      <x:c r="A52" s="12" t="str">
        <x:v>DEV-039</x:v>
      </x:c>
      <x:c r="B52" s="12" t="str">
        <x:v>SEARCH-05</x:v>
      </x:c>
      <x:c r="C52" s="12" t="str">
        <x:v>M3</x:v>
      </x:c>
      <x:c r="D52" s="12" t="str">
        <x:v>QRY-04, MODE-01</x:v>
      </x:c>
      <x:c r="E52" s="12" t="n">
        <x:f>'开发任务'!G43</x:f>
        <x:v>3</x:v>
      </x:c>
      <x:c r="F52" s="12" t="n">
        <x:f>'开发任务'!H43</x:f>
        <x:v>5</x:v>
      </x:c>
      <x:c r="G52" s="12" t="n">
        <x:f>E52 + MAX(G46,G37)</x:f>
        <x:v>73</x:v>
      </x:c>
      <x:c r="H52" s="12" t="n">
        <x:f>F52 + MAX(H46,H37)</x:f>
        <x:v>125</x:v>
      </x:c>
    </x:row>
    <x:row r="53" ht="42" customHeight="1">
      <x:c r="A53" s="12" t="str">
        <x:v>DEV-040</x:v>
      </x:c>
      <x:c r="B53" s="12" t="str">
        <x:v>FACET-01</x:v>
      </x:c>
      <x:c r="C53" s="12" t="str">
        <x:v>M3</x:v>
      </x:c>
      <x:c r="D53" s="12" t="str">
        <x:v>SESSION-01, QRY-04</x:v>
      </x:c>
      <x:c r="E53" s="12" t="n">
        <x:f>'开发任务'!G44</x:f>
        <x:v>5</x:v>
      </x:c>
      <x:c r="F53" s="12" t="n">
        <x:f>'开发任务'!H44</x:f>
        <x:v>8</x:v>
      </x:c>
      <x:c r="G53" s="12" t="n">
        <x:f>E53 + MAX(G42,G46)</x:f>
        <x:v>75</x:v>
      </x:c>
      <x:c r="H53" s="12" t="n">
        <x:f>F53 + MAX(H42,H46)</x:f>
        <x:v>128</x:v>
      </x:c>
    </x:row>
    <x:row r="54" ht="42" customHeight="1">
      <x:c r="A54" s="12" t="str">
        <x:v>DEV-036</x:v>
      </x:c>
      <x:c r="B54" s="12" t="str">
        <x:v>QRY-06</x:v>
      </x:c>
      <x:c r="C54" s="12" t="str">
        <x:v>M3</x:v>
      </x:c>
      <x:c r="D54" s="12" t="str">
        <x:v>QRY-05, AUTH-01</x:v>
      </x:c>
      <x:c r="E54" s="12" t="n">
        <x:f>'开发任务'!G40</x:f>
        <x:v>4</x:v>
      </x:c>
      <x:c r="F54" s="12" t="n">
        <x:f>'开发任务'!H40</x:f>
        <x:v>7</x:v>
      </x:c>
      <x:c r="G54" s="12" t="n">
        <x:f>E54 + MAX(G48,G12)</x:f>
        <x:v>72</x:v>
      </x:c>
      <x:c r="H54" s="12" t="n">
        <x:f>F54 + MAX(H48,H12)</x:f>
        <x:v>124</x:v>
      </x:c>
    </x:row>
    <x:row r="55" ht="42" customHeight="1">
      <x:c r="A55" s="12" t="str">
        <x:v>DEV-020</x:v>
      </x:c>
      <x:c r="B55" s="12" t="str">
        <x:v>UI-01</x:v>
      </x:c>
      <x:c r="C55" s="12" t="str">
        <x:v>M1</x:v>
      </x:c>
      <x:c r="D55" s="12" t="str">
        <x:v>SESSION-02, CORE-01, API-00</x:v>
      </x:c>
      <x:c r="E55" s="12" t="n">
        <x:f>'开发任务'!G24</x:f>
        <x:v>6</x:v>
      </x:c>
      <x:c r="F55" s="12" t="n">
        <x:f>'开发任务'!H24</x:f>
        <x:v>10</x:v>
      </x:c>
      <x:c r="G55" s="12" t="n">
        <x:f>E55 + MAX(G49,G6,G19)</x:f>
        <x:v>76</x:v>
      </x:c>
      <x:c r="H55" s="12" t="n">
        <x:f>F55 + MAX(H49,H6,H19)</x:f>
        <x:v>132</x:v>
      </x:c>
    </x:row>
    <x:row r="56" ht="42" customHeight="1">
      <x:c r="A56" s="12" t="str">
        <x:v>DEV-045</x:v>
      </x:c>
      <x:c r="B56" s="12" t="str">
        <x:v>SEARCH-02</x:v>
      </x:c>
      <x:c r="C56" s="12" t="str">
        <x:v>M4</x:v>
      </x:c>
      <x:c r="D56" s="12" t="str">
        <x:v>MODEL-02, QRY-04</x:v>
      </x:c>
      <x:c r="E56" s="12" t="n">
        <x:f>'开发任务'!G49</x:f>
        <x:v>5</x:v>
      </x:c>
      <x:c r="F56" s="12" t="n">
        <x:f>'开发任务'!H49</x:f>
        <x:v>8</x:v>
      </x:c>
      <x:c r="G56" s="12" t="n">
        <x:f>E56 + MAX(G51,G46)</x:f>
        <x:v>81</x:v>
      </x:c>
      <x:c r="H56" s="12" t="n">
        <x:f>F56 + MAX(H51,H46)</x:f>
        <x:v>138</x:v>
      </x:c>
    </x:row>
    <x:row r="57" ht="42" customHeight="1">
      <x:c r="A57" s="12" t="str">
        <x:v>DEV-046</x:v>
      </x:c>
      <x:c r="B57" s="12" t="str">
        <x:v>INDEX-02</x:v>
      </x:c>
      <x:c r="C57" s="12" t="str">
        <x:v>M4</x:v>
      </x:c>
      <x:c r="D57" s="12" t="str">
        <x:v>MODEL-02, INDEX-03, QRY-03</x:v>
      </x:c>
      <x:c r="E57" s="12" t="n">
        <x:f>'开发任务'!G50</x:f>
        <x:v>10</x:v>
      </x:c>
      <x:c r="F57" s="12" t="n">
        <x:f>'开发任务'!H50</x:f>
        <x:v>17</x:v>
      </x:c>
      <x:c r="G57" s="12" t="n">
        <x:f>E57 + MAX(G51,G39,G40)</x:f>
        <x:v>86</x:v>
      </x:c>
      <x:c r="H57" s="12" t="n">
        <x:f>F57 + MAX(H51,H39,H40)</x:f>
        <x:v>147</x:v>
      </x:c>
    </x:row>
    <x:row r="58" ht="42" customHeight="1">
      <x:c r="A58" s="12" t="str">
        <x:v>DEV-049</x:v>
      </x:c>
      <x:c r="B58" s="12" t="str">
        <x:v>EXTRACT-01</x:v>
      </x:c>
      <x:c r="C58" s="12" t="str">
        <x:v>M4</x:v>
      </x:c>
      <x:c r="D58" s="12" t="str">
        <x:v>EVID-01, MODEL-02</x:v>
      </x:c>
      <x:c r="E58" s="12" t="n">
        <x:f>'开发任务'!G53</x:f>
        <x:v>6</x:v>
      </x:c>
      <x:c r="F58" s="12" t="n">
        <x:f>'开发任务'!H53</x:f>
        <x:v>10</x:v>
      </x:c>
      <x:c r="G58" s="12" t="n">
        <x:f>E58 + MAX(G41,G51)</x:f>
        <x:v>82</x:v>
      </x:c>
      <x:c r="H58" s="12" t="n">
        <x:f>F58 + MAX(H41,H51)</x:f>
        <x:v>140</x:v>
      </x:c>
    </x:row>
    <x:row r="59" ht="42" customHeight="1">
      <x:c r="A59" s="12" t="str">
        <x:v>DEV-060</x:v>
      </x:c>
      <x:c r="B59" s="12" t="str">
        <x:v>DOC-02</x:v>
      </x:c>
      <x:c r="C59" s="12" t="str">
        <x:v>M6</x:v>
      </x:c>
      <x:c r="D59" s="12" t="str">
        <x:v>DOC-01, MODEL-02, EVID-01</x:v>
      </x:c>
      <x:c r="E59" s="12" t="n">
        <x:f>'开发任务'!G64</x:f>
        <x:v>8</x:v>
      </x:c>
      <x:c r="F59" s="12" t="n">
        <x:f>'开发任务'!H64</x:f>
        <x:v>14</x:v>
      </x:c>
      <x:c r="G59" s="12" t="n">
        <x:f>E59 + MAX(G32,G51,G41)</x:f>
        <x:v>84</x:v>
      </x:c>
      <x:c r="H59" s="12" t="n">
        <x:f>F59 + MAX(H32,H51,H41)</x:f>
        <x:v>144</x:v>
      </x:c>
    </x:row>
    <x:row r="60" ht="42" customHeight="1">
      <x:c r="A60" s="12" t="str">
        <x:v>DEV-041</x:v>
      </x:c>
      <x:c r="B60" s="12" t="str">
        <x:v>SRC-05</x:v>
      </x:c>
      <x:c r="C60" s="12" t="str">
        <x:v>M3</x:v>
      </x:c>
      <x:c r="D60" s="12" t="str">
        <x:v>RANK-02, SEARCH-05</x:v>
      </x:c>
      <x:c r="E60" s="12" t="n">
        <x:f>'开发任务'!G45</x:f>
        <x:v>4</x:v>
      </x:c>
      <x:c r="F60" s="12" t="n">
        <x:f>'开发任务'!H45</x:f>
        <x:v>7</x:v>
      </x:c>
      <x:c r="G60" s="12" t="n">
        <x:f>E60 + MAX(G50,G52)</x:f>
        <x:v>77</x:v>
      </x:c>
      <x:c r="H60" s="12" t="n">
        <x:f>F60 + MAX(H50,H52)</x:f>
        <x:v>132</x:v>
      </x:c>
    </x:row>
    <x:row r="61" ht="42" customHeight="1">
      <x:c r="A61" s="12" t="str">
        <x:v>DEV-042</x:v>
      </x:c>
      <x:c r="B61" s="12" t="str">
        <x:v>QA-02</x:v>
      </x:c>
      <x:c r="C61" s="12" t="str">
        <x:v>M3</x:v>
      </x:c>
      <x:c r="D61" s="12" t="str">
        <x:v>QRY-04, RANK-01, FACET-01, QA-01</x:v>
      </x:c>
      <x:c r="E61" s="12" t="n">
        <x:f>'开发任务'!G46</x:f>
        <x:v>6</x:v>
      </x:c>
      <x:c r="F61" s="12" t="n">
        <x:f>'开发任务'!H46</x:f>
        <x:v>11</x:v>
      </x:c>
      <x:c r="G61" s="12" t="n">
        <x:f>E61 + MAX(G46,G43,G53,G10)</x:f>
        <x:v>81</x:v>
      </x:c>
      <x:c r="H61" s="12" t="n">
        <x:f>F61 + MAX(H46,H43,H53,H10)</x:f>
        <x:v>139</x:v>
      </x:c>
    </x:row>
    <x:row r="62" ht="42" customHeight="1">
      <x:c r="A62" s="12" t="str">
        <x:v>DEV-066</x:v>
      </x:c>
      <x:c r="B62" s="12" t="str">
        <x:v>WORKSPACE-01</x:v>
      </x:c>
      <x:c r="C62" s="12" t="str">
        <x:v>M7</x:v>
      </x:c>
      <x:c r="D62" s="12" t="str">
        <x:v>FACET-01, AUTH-01, EVID-02</x:v>
      </x:c>
      <x:c r="E62" s="12" t="n">
        <x:f>'开发任务'!G70</x:f>
        <x:v>6</x:v>
      </x:c>
      <x:c r="F62" s="12" t="n">
        <x:f>'开发任务'!H70</x:f>
        <x:v>10</x:v>
      </x:c>
      <x:c r="G62" s="12" t="n">
        <x:f>E62 + MAX(G53,G12,G17)</x:f>
        <x:v>81</x:v>
      </x:c>
      <x:c r="H62" s="12" t="n">
        <x:f>F62 + MAX(H53,H12,H17)</x:f>
        <x:v>138</x:v>
      </x:c>
    </x:row>
    <x:row r="63" ht="42" customHeight="1">
      <x:c r="A63" s="12" t="str">
        <x:v>DEV-055</x:v>
      </x:c>
      <x:c r="B63" s="12" t="str">
        <x:v>CRAWL-02</x:v>
      </x:c>
      <x:c r="C63" s="12" t="str">
        <x:v>M5</x:v>
      </x:c>
      <x:c r="D63" s="12" t="str">
        <x:v>CRAWL-01, SEARCH-02</x:v>
      </x:c>
      <x:c r="E63" s="12" t="n">
        <x:f>'开发任务'!G59</x:f>
        <x:v>5</x:v>
      </x:c>
      <x:c r="F63" s="12" t="n">
        <x:f>'开发任务'!H59</x:f>
        <x:v>9</x:v>
      </x:c>
      <x:c r="G63" s="12" t="n">
        <x:f>E63 + MAX(G44,G56)</x:f>
        <x:v>86</x:v>
      </x:c>
      <x:c r="H63" s="12" t="n">
        <x:f>F63 + MAX(H44,H56)</x:f>
        <x:v>147</x:v>
      </x:c>
    </x:row>
    <x:row r="64" ht="42" customHeight="1">
      <x:c r="A64" s="12" t="str">
        <x:v>DEV-052</x:v>
      </x:c>
      <x:c r="B64" s="12" t="str">
        <x:v>SEARCH-04</x:v>
      </x:c>
      <x:c r="C64" s="12" t="str">
        <x:v>M4</x:v>
      </x:c>
      <x:c r="D64" s="12" t="str">
        <x:v>INDEX-02, EVID-01</x:v>
      </x:c>
      <x:c r="E64" s="12" t="n">
        <x:f>'开发任务'!G56</x:f>
        <x:v>5</x:v>
      </x:c>
      <x:c r="F64" s="12" t="n">
        <x:f>'开发任务'!H56</x:f>
        <x:v>8</x:v>
      </x:c>
      <x:c r="G64" s="12" t="n">
        <x:f>E64 + MAX(G57,G41)</x:f>
        <x:v>91</x:v>
      </x:c>
      <x:c r="H64" s="12" t="n">
        <x:f>F64 + MAX(H57,H41)</x:f>
        <x:v>155</x:v>
      </x:c>
    </x:row>
    <x:row r="65" ht="42" customHeight="1">
      <x:c r="A65" s="12" t="str">
        <x:v>DEV-056</x:v>
      </x:c>
      <x:c r="B65" s="12" t="str">
        <x:v>CODE-01</x:v>
      </x:c>
      <x:c r="C65" s="12" t="str">
        <x:v>M5</x:v>
      </x:c>
      <x:c r="D65" s="12" t="str">
        <x:v>INDEX-02, QRY-02, DOC-01</x:v>
      </x:c>
      <x:c r="E65" s="12" t="n">
        <x:f>'开发任务'!G60</x:f>
        <x:v>7</x:v>
      </x:c>
      <x:c r="F65" s="12" t="n">
        <x:f>'开发任务'!H60</x:f>
        <x:v>12</x:v>
      </x:c>
      <x:c r="G65" s="12" t="n">
        <x:f>E65 + MAX(G57,G15,G32)</x:f>
        <x:v>93</x:v>
      </x:c>
      <x:c r="H65" s="12" t="n">
        <x:f>F65 + MAX(H57,H15,H32)</x:f>
        <x:v>159</x:v>
      </x:c>
    </x:row>
    <x:row r="66" ht="42" customHeight="1">
      <x:c r="A66" s="12" t="str">
        <x:v>DEV-050</x:v>
      </x:c>
      <x:c r="B66" s="12" t="str">
        <x:v>ANSWER-01</x:v>
      </x:c>
      <x:c r="C66" s="12" t="str">
        <x:v>M4</x:v>
      </x:c>
      <x:c r="D66" s="12" t="str">
        <x:v>EXTRACT-01, EVID-02</x:v>
      </x:c>
      <x:c r="E66" s="12" t="n">
        <x:f>'开发任务'!G54</x:f>
        <x:v>5</x:v>
      </x:c>
      <x:c r="F66" s="12" t="n">
        <x:f>'开发任务'!H54</x:f>
        <x:v>9</x:v>
      </x:c>
      <x:c r="G66" s="12" t="n">
        <x:f>E66 + MAX(G58,G17)</x:f>
        <x:v>87</x:v>
      </x:c>
      <x:c r="H66" s="12" t="n">
        <x:f>F66 + MAX(H58,H17)</x:f>
        <x:v>149</x:v>
      </x:c>
    </x:row>
    <x:row r="67" ht="42" customHeight="1">
      <x:c r="A67" s="12" t="str">
        <x:v>DEV-054</x:v>
      </x:c>
      <x:c r="B67" s="12" t="str">
        <x:v>READ-04</x:v>
      </x:c>
      <x:c r="C67" s="12" t="str">
        <x:v>M5</x:v>
      </x:c>
      <x:c r="D67" s="12" t="str">
        <x:v>READ-03, EXTRACT-01</x:v>
      </x:c>
      <x:c r="E67" s="12" t="n">
        <x:f>'开发任务'!G58</x:f>
        <x:v>6</x:v>
      </x:c>
      <x:c r="F67" s="12" t="n">
        <x:f>'开发任务'!H58</x:f>
        <x:v>11</x:v>
      </x:c>
      <x:c r="G67" s="12" t="n">
        <x:f>E67 + MAX(G29,G58)</x:f>
        <x:v>88</x:v>
      </x:c>
      <x:c r="H67" s="12" t="n">
        <x:f>F67 + MAX(H29,H58)</x:f>
        <x:v>151</x:v>
      </x:c>
    </x:row>
    <x:row r="68" ht="42" customHeight="1">
      <x:c r="A68" s="12" t="str">
        <x:v>DEV-065</x:v>
      </x:c>
      <x:c r="B68" s="12" t="str">
        <x:v>UPDATE-01</x:v>
      </x:c>
      <x:c r="C68" s="12" t="str">
        <x:v>M7</x:v>
      </x:c>
      <x:c r="D68" s="12" t="str">
        <x:v>INDEX-03, CACHE-01, EXTRACT-01</x:v>
      </x:c>
      <x:c r="E68" s="12" t="n">
        <x:f>'开发任务'!G69</x:f>
        <x:v>5</x:v>
      </x:c>
      <x:c r="F68" s="12" t="n">
        <x:f>'开发任务'!H69</x:f>
        <x:v>9</x:v>
      </x:c>
      <x:c r="G68" s="12" t="n">
        <x:f>E68 + MAX(G39,G45,G58)</x:f>
        <x:v>87</x:v>
      </x:c>
      <x:c r="H68" s="12" t="n">
        <x:f>F68 + MAX(H39,H45,H58)</x:f>
        <x:v>149</x:v>
      </x:c>
    </x:row>
    <x:row r="69" ht="42" customHeight="1">
      <x:c r="A69" s="12" t="str">
        <x:v>DEV-067</x:v>
      </x:c>
      <x:c r="B69" s="12" t="str">
        <x:v>PREF-01</x:v>
      </x:c>
      <x:c r="C69" s="12" t="str">
        <x:v>M7</x:v>
      </x:c>
      <x:c r="D69" s="12" t="str">
        <x:v>RANK-02, WORKSPACE-01</x:v>
      </x:c>
      <x:c r="E69" s="12" t="n">
        <x:f>'开发任务'!G71</x:f>
        <x:v>4</x:v>
      </x:c>
      <x:c r="F69" s="12" t="n">
        <x:f>'开发任务'!H71</x:f>
        <x:v>7</x:v>
      </x:c>
      <x:c r="G69" s="12" t="n">
        <x:f>E69 + MAX(G50,G62)</x:f>
        <x:v>85</x:v>
      </x:c>
      <x:c r="H69" s="12" t="n">
        <x:f>F69 + MAX(H50,H62)</x:f>
        <x:v>145</x:v>
      </x:c>
    </x:row>
    <x:row r="70" ht="42" customHeight="1">
      <x:c r="A70" s="12" t="str">
        <x:v>DEV-051</x:v>
      </x:c>
      <x:c r="B70" s="12" t="str">
        <x:v>RESEARCH-01</x:v>
      </x:c>
      <x:c r="C70" s="12" t="str">
        <x:v>M4</x:v>
      </x:c>
      <x:c r="D70" s="12" t="str">
        <x:v>ANSWER-01, SEARCH-02, JOB-01</x:v>
      </x:c>
      <x:c r="E70" s="12" t="n">
        <x:f>'开发任务'!G55</x:f>
        <x:v>8</x:v>
      </x:c>
      <x:c r="F70" s="12" t="n">
        <x:f>'开发任务'!H55</x:f>
        <x:v>14</x:v>
      </x:c>
      <x:c r="G70" s="12" t="n">
        <x:f>E70 + MAX(G66,G56,G16)</x:f>
        <x:v>95</x:v>
      </x:c>
      <x:c r="H70" s="12" t="n">
        <x:f>F70 + MAX(H66,H56,H16)</x:f>
        <x:v>163</x:v>
      </x:c>
    </x:row>
    <x:row r="71" ht="42" customHeight="1">
      <x:c r="A71" s="12" t="str">
        <x:v>DEV-068</x:v>
      </x:c>
      <x:c r="B71" s="12" t="str">
        <x:v>WATCH-01</x:v>
      </x:c>
      <x:c r="C71" s="12" t="str">
        <x:v>M7</x:v>
      </x:c>
      <x:c r="D71" s="12" t="str">
        <x:v>UPDATE-01, WORKSPACE-01, JOB-01</x:v>
      </x:c>
      <x:c r="E71" s="12" t="n">
        <x:f>'开发任务'!G72</x:f>
        <x:v>8</x:v>
      </x:c>
      <x:c r="F71" s="12" t="n">
        <x:f>'开发任务'!H72</x:f>
        <x:v>14</x:v>
      </x:c>
      <x:c r="G71" s="12" t="n">
        <x:f>E71 + MAX(G68,G62,G16)</x:f>
        <x:v>95</x:v>
      </x:c>
      <x:c r="H71" s="12" t="n">
        <x:f>F71 + MAX(H68,H62,H16)</x:f>
        <x:v>163</x:v>
      </x:c>
    </x:row>
    <x:row r="72" ht="42" customHeight="1">
      <x:c r="A72" s="12" t="str">
        <x:v>DEV-053</x:v>
      </x:c>
      <x:c r="B72" s="12" t="str">
        <x:v>DATASET-01</x:v>
      </x:c>
      <x:c r="C72" s="12" t="str">
        <x:v>M5</x:v>
      </x:c>
      <x:c r="D72" s="12" t="str">
        <x:v>EXTRACT-01, RESEARCH-01</x:v>
      </x:c>
      <x:c r="E72" s="12" t="n">
        <x:f>'开发任务'!G57</x:f>
        <x:v>6</x:v>
      </x:c>
      <x:c r="F72" s="12" t="n">
        <x:f>'开发任务'!H57</x:f>
        <x:v>10</x:v>
      </x:c>
      <x:c r="G72" s="12" t="n">
        <x:f>E72 + MAX(G58,G70)</x:f>
        <x:v>101</x:v>
      </x:c>
      <x:c r="H72" s="12" t="n">
        <x:f>F72 + MAX(H58,H70)</x:f>
        <x:v>173</x:v>
      </x:c>
    </x:row>
    <x:row r="73" ht="42" customHeight="1">
      <x:c r="A73" s="12" t="str">
        <x:v>DEV-074</x:v>
      </x:c>
      <x:c r="B73" s="12" t="str">
        <x:v>OPS-02</x:v>
      </x:c>
      <x:c r="C73" s="12" t="str">
        <x:v>M8</x:v>
      </x:c>
      <x:c r="D73" s="12" t="str">
        <x:v>BACKUP-00, INDEX-03, WATCH-01</x:v>
      </x:c>
      <x:c r="E73" s="12" t="n">
        <x:f>'开发任务'!G78</x:f>
        <x:v>4</x:v>
      </x:c>
      <x:c r="F73" s="12" t="n">
        <x:f>'开发任务'!H78</x:f>
        <x:v>6</x:v>
      </x:c>
      <x:c r="G73" s="12" t="n">
        <x:f>E73 + MAX(G21,G39,G71)</x:f>
        <x:v>99</x:v>
      </x:c>
      <x:c r="H73" s="12" t="n">
        <x:f>F73 + MAX(H21,H39,H71)</x:f>
        <x:v>169</x:v>
      </x:c>
    </x:row>
    <x:row r="74" ht="42" customHeight="1">
      <x:c r="A74" s="12" t="str">
        <x:v>DEV-057</x:v>
      </x:c>
      <x:c r="B74" s="12" t="str">
        <x:v>SCHOLAR-01</x:v>
      </x:c>
      <x:c r="C74" s="12" t="str">
        <x:v>M5</x:v>
      </x:c>
      <x:c r="D74" s="12" t="str">
        <x:v>DATASET-01, SRC-04, DOC-01</x:v>
      </x:c>
      <x:c r="E74" s="12" t="n">
        <x:f>'开发任务'!G61</x:f>
        <x:v>6</x:v>
      </x:c>
      <x:c r="F74" s="12" t="n">
        <x:f>'开发任务'!H61</x:f>
        <x:v>10</x:v>
      </x:c>
      <x:c r="G74" s="12" t="n">
        <x:f>E74 + MAX(G72,G27,G32)</x:f>
        <x:v>107</x:v>
      </x:c>
      <x:c r="H74" s="12" t="n">
        <x:f>F74 + MAX(H72,H27,H32)</x:f>
        <x:v>183</x:v>
      </x:c>
    </x:row>
    <x:row r="75" ht="42" customHeight="1">
      <x:c r="A75" s="12" t="str">
        <x:v>DEV-069</x:v>
      </x:c>
      <x:c r="B75" s="12" t="str">
        <x:v>EXPORT-01</x:v>
      </x:c>
      <x:c r="C75" s="12" t="str">
        <x:v>M7</x:v>
      </x:c>
      <x:c r="D75" s="12" t="str">
        <x:v>WORKSPACE-01, DATASET-01</x:v>
      </x:c>
      <x:c r="E75" s="12" t="n">
        <x:f>'开发任务'!G73</x:f>
        <x:v>5</x:v>
      </x:c>
      <x:c r="F75" s="12" t="n">
        <x:f>'开发任务'!H73</x:f>
        <x:v>8</x:v>
      </x:c>
      <x:c r="G75" s="12" t="n">
        <x:f>E75 + MAX(G62,G72)</x:f>
        <x:v>106</x:v>
      </x:c>
      <x:c r="H75" s="12" t="n">
        <x:f>F75 + MAX(H62,H72)</x:f>
        <x:v>181</x:v>
      </x:c>
    </x:row>
    <x:row r="76" ht="42" customHeight="1">
      <x:c r="A76" s="12" t="str">
        <x:v>DEV-059</x:v>
      </x:c>
      <x:c r="B76" s="12" t="str">
        <x:v>SRC-06</x:v>
      </x:c>
      <x:c r="C76" s="12" t="str">
        <x:v>M5</x:v>
      </x:c>
      <x:c r="D76" s="12" t="str">
        <x:v>SRC-05, SCHOLAR-01</x:v>
      </x:c>
      <x:c r="E76" s="12" t="n">
        <x:f>'开发任务'!G63</x:f>
        <x:v>8</x:v>
      </x:c>
      <x:c r="F76" s="12" t="n">
        <x:f>'开发任务'!H63</x:f>
        <x:v>16</x:v>
      </x:c>
      <x:c r="G76" s="12" t="n">
        <x:f>E76 + MAX(G60,G74)</x:f>
        <x:v>115</x:v>
      </x:c>
      <x:c r="H76" s="12" t="n">
        <x:f>F76 + MAX(H60,H74)</x:f>
        <x:v>199</x:v>
      </x:c>
    </x:row>
    <x:row r="77" ht="42" customHeight="1">
      <x:c r="A77" s="12" t="str">
        <x:v>DEV-070</x:v>
      </x:c>
      <x:c r="B77" s="12" t="str">
        <x:v>WEBHOOK-01</x:v>
      </x:c>
      <x:c r="C77" s="12" t="str">
        <x:v>M7</x:v>
      </x:c>
      <x:c r="D77" s="12" t="str">
        <x:v>WATCH-01, EXPORT-01, SEC-01</x:v>
      </x:c>
      <x:c r="E77" s="12" t="n">
        <x:f>'开发任务'!G74</x:f>
        <x:v>4</x:v>
      </x:c>
      <x:c r="F77" s="12" t="n">
        <x:f>'开发任务'!H74</x:f>
        <x:v>7</x:v>
      </x:c>
      <x:c r="G77" s="12" t="n">
        <x:f>E77 + MAX(G71,G75,G8)</x:f>
        <x:v>110</x:v>
      </x:c>
      <x:c r="H77" s="12" t="n">
        <x:f>F77 + MAX(H71,H75,H8)</x:f>
        <x:v>188</x:v>
      </x:c>
    </x:row>
    <x:row r="78" ht="42" customHeight="1">
      <x:c r="A78" s="12" t="str">
        <x:v>DEV-061</x:v>
      </x:c>
      <x:c r="B78" s="12" t="str">
        <x:v>IMAGE-01</x:v>
      </x:c>
      <x:c r="C78" s="12" t="str">
        <x:v>M6</x:v>
      </x:c>
      <x:c r="D78" s="12" t="str">
        <x:v>INDEX-02, SRC-06</x:v>
      </x:c>
      <x:c r="E78" s="12" t="n">
        <x:f>'开发任务'!G65</x:f>
        <x:v>6</x:v>
      </x:c>
      <x:c r="F78" s="12" t="n">
        <x:f>'开发任务'!H65</x:f>
        <x:v>10</x:v>
      </x:c>
      <x:c r="G78" s="12" t="n">
        <x:f>E78 + MAX(G57,G76)</x:f>
        <x:v>121</x:v>
      </x:c>
      <x:c r="H78" s="12" t="n">
        <x:f>F78 + MAX(H57,H76)</x:f>
        <x:v>209</x:v>
      </x:c>
    </x:row>
    <x:row r="79" ht="42" customHeight="1">
      <x:c r="A79" s="12" t="str">
        <x:v>DEV-063</x:v>
      </x:c>
      <x:c r="B79" s="12" t="str">
        <x:v>AV-01</x:v>
      </x:c>
      <x:c r="C79" s="12" t="str">
        <x:v>M6</x:v>
      </x:c>
      <x:c r="D79" s="12" t="str">
        <x:v>SRC-06, EVID-01, INDEX-02</x:v>
      </x:c>
      <x:c r="E79" s="12" t="n">
        <x:f>'开发任务'!G67</x:f>
        <x:v>8</x:v>
      </x:c>
      <x:c r="F79" s="12" t="n">
        <x:f>'开发任务'!H67</x:f>
        <x:v>13</x:v>
      </x:c>
      <x:c r="G79" s="12" t="n">
        <x:f>E79 + MAX(G76,G41,G57)</x:f>
        <x:v>123</x:v>
      </x:c>
      <x:c r="H79" s="12" t="n">
        <x:f>F79 + MAX(H76,H41,H57)</x:f>
        <x:v>212</x:v>
      </x:c>
    </x:row>
    <x:row r="80" ht="42" customHeight="1">
      <x:c r="A80" s="12" t="str">
        <x:v>DEV-062</x:v>
      </x:c>
      <x:c r="B80" s="12" t="str">
        <x:v>IMAGE-02</x:v>
      </x:c>
      <x:c r="C80" s="12" t="str">
        <x:v>M6</x:v>
      </x:c>
      <x:c r="D80" s="12" t="str">
        <x:v>IMAGE-01, DOC-02</x:v>
      </x:c>
      <x:c r="E80" s="12" t="n">
        <x:f>'开发任务'!G66</x:f>
        <x:v>8</x:v>
      </x:c>
      <x:c r="F80" s="12" t="n">
        <x:f>'开发任务'!H66</x:f>
        <x:v>14</x:v>
      </x:c>
      <x:c r="G80" s="12" t="n">
        <x:f>E80 + MAX(G78,G59)</x:f>
        <x:v>129</x:v>
      </x:c>
      <x:c r="H80" s="12" t="n">
        <x:f>F80 + MAX(H78,H59)</x:f>
        <x:v>223</x:v>
      </x:c>
    </x:row>
    <x:row r="81" ht="42" customHeight="1">
      <x:c r="A81" s="12" t="str">
        <x:v>DEV-064</x:v>
      </x:c>
      <x:c r="B81" s="12" t="str">
        <x:v>AV-02</x:v>
      </x:c>
      <x:c r="C81" s="12" t="str">
        <x:v>M6</x:v>
      </x:c>
      <x:c r="D81" s="12" t="str">
        <x:v>AV-01, MODEL-02, DOC-02</x:v>
      </x:c>
      <x:c r="E81" s="12" t="n">
        <x:f>'开发任务'!G68</x:f>
        <x:v>10</x:v>
      </x:c>
      <x:c r="F81" s="12" t="n">
        <x:f>'开发任务'!H68</x:f>
        <x:v>18</x:v>
      </x:c>
      <x:c r="G81" s="12" t="n">
        <x:f>E81 + MAX(G79,G51,G59)</x:f>
        <x:v>133</x:v>
      </x:c>
      <x:c r="H81" s="12" t="n">
        <x:f>F81 + MAX(H79,H51,H59)</x:f>
        <x:v>230</x:v>
      </x:c>
    </x:row>
    <x:row r="82" ht="42" customHeight="1">
      <x:c r="A82" s="12" t="str">
        <x:v>DEV-071</x:v>
      </x:c>
      <x:c r="B82" s="12" t="str">
        <x:v>API-01</x:v>
      </x:c>
      <x:c r="C82" s="12" t="str">
        <x:v>M7</x:v>
      </x:c>
      <x:c r="D82" s="12" t="str">
        <x:v>API-00, RESEARCH-01, IMAGE-02, AV-02, EXPORT-01</x:v>
      </x:c>
      <x:c r="E82" s="12" t="n">
        <x:f>'开发任务'!G75</x:f>
        <x:v>4</x:v>
      </x:c>
      <x:c r="F82" s="12" t="n">
        <x:f>'开发任务'!H75</x:f>
        <x:v>7</x:v>
      </x:c>
      <x:c r="G82" s="12" t="n">
        <x:f>E82 + MAX(G19,G70,G80,G81,G75)</x:f>
        <x:v>137</x:v>
      </x:c>
      <x:c r="H82" s="12" t="n">
        <x:f>F82 + MAX(H19,H70,H80,H81,H75)</x:f>
        <x:v>237</x:v>
      </x:c>
    </x:row>
    <x:row r="83" ht="42" customHeight="1">
      <x:c r="A83" s="12" t="str">
        <x:v>DEV-072</x:v>
      </x:c>
      <x:c r="B83" s="12" t="str">
        <x:v>UI-02</x:v>
      </x:c>
      <x:c r="C83" s="12" t="str">
        <x:v>M7</x:v>
      </x:c>
      <x:c r="D83" s="12" t="str">
        <x:v>API-01, PREF-01, WEBHOOK-01</x:v>
      </x:c>
      <x:c r="E83" s="12" t="n">
        <x:f>'开发任务'!G76</x:f>
        <x:v>8</x:v>
      </x:c>
      <x:c r="F83" s="12" t="n">
        <x:f>'开发任务'!H76</x:f>
        <x:v>14</x:v>
      </x:c>
      <x:c r="G83" s="12" t="n">
        <x:f>E83 + MAX(G82,G69,G77)</x:f>
        <x:v>145</x:v>
      </x:c>
      <x:c r="H83" s="12" t="n">
        <x:f>F83 + MAX(H82,H69,H77)</x:f>
        <x:v>251</x:v>
      </x:c>
    </x:row>
    <x:row r="84" ht="42" customHeight="1">
      <x:c r="A84" s="12" t="str">
        <x:v>DEV-073</x:v>
      </x:c>
      <x:c r="B84" s="12" t="str">
        <x:v>OPS-01</x:v>
      </x:c>
      <x:c r="C84" s="12" t="str">
        <x:v>M8</x:v>
      </x:c>
      <x:c r="D84" s="12" t="str">
        <x:v>OPS-00, QA-02, UI-02</x:v>
      </x:c>
      <x:c r="E84" s="12" t="n">
        <x:f>'开发任务'!G77</x:f>
        <x:v>3</x:v>
      </x:c>
      <x:c r="F84" s="12" t="n">
        <x:f>'开发任务'!H77</x:f>
        <x:v>5</x:v>
      </x:c>
      <x:c r="G84" s="12" t="n">
        <x:f>E84 + MAX(G20,G61,G83)</x:f>
        <x:v>148</x:v>
      </x:c>
      <x:c r="H84" s="12" t="n">
        <x:f>F84 + MAX(H20,H61,H83)</x:f>
        <x:v>256</x:v>
      </x:c>
    </x:row>
    <x:row r="85" ht="42" customHeight="1">
      <x:c r="A85" s="12" t="str">
        <x:v>DEV-075</x:v>
      </x:c>
      <x:c r="B85" s="12" t="str">
        <x:v>SCALE-01</x:v>
      </x:c>
      <x:c r="C85" s="12" t="str">
        <x:v>M8</x:v>
      </x:c>
      <x:c r="D85" s="12" t="str">
        <x:v>OPS-01, JOB-01, OPS-02, API-00</x:v>
      </x:c>
      <x:c r="E85" s="12" t="n">
        <x:f>'开发任务'!G79</x:f>
        <x:v>10</x:v>
      </x:c>
      <x:c r="F85" s="12" t="n">
        <x:f>'开发任务'!H79</x:f>
        <x:v>18</x:v>
      </x:c>
      <x:c r="G85" s="12" t="n">
        <x:f>E85 + MAX(G84,G16,G73,G19)</x:f>
        <x:v>158</x:v>
      </x:c>
      <x:c r="H85" s="12" t="n">
        <x:f>F85 + MAX(H84,H16,H73,H19)</x:f>
        <x:v>274</x:v>
      </x:c>
    </x:row>
    <x:row r="86" ht="42" customHeight="1">
      <x:c r="A86" s="12" t="str">
        <x:v>DEV-076</x:v>
      </x:c>
      <x:c r="B86" s="12" t="str">
        <x:v>QA-03</x:v>
      </x:c>
      <x:c r="C86" s="12" t="str">
        <x:v>M8</x:v>
      </x:c>
      <x:c r="D86" s="12" t="str">
        <x:v>OPS-01, OPS-02, SCALE-01</x:v>
      </x:c>
      <x:c r="E86" s="12" t="n">
        <x:f>'开发任务'!G80</x:f>
        <x:v>8</x:v>
      </x:c>
      <x:c r="F86" s="12" t="n">
        <x:f>'开发任务'!H80</x:f>
        <x:v>14</x:v>
      </x:c>
      <x:c r="G86" s="12" t="n">
        <x:f>E86 + MAX(G84,G73,G85)</x:f>
        <x:v>166</x:v>
      </x:c>
      <x:c r="H86" s="12" t="n">
        <x:f>F86 + MAX(H84,H73,H85)</x:f>
        <x:v>288</x:v>
      </x:c>
    </x:row>
    <x:row r="87" ht="42" customHeight="1">
      <x:c r="A87" s="12" t="str">
        <x:v>DEV-077</x:v>
      </x:c>
      <x:c r="B87" s="12" t="str">
        <x:v>RELEASE-01</x:v>
      </x:c>
      <x:c r="C87" s="12" t="str">
        <x:v>M8</x:v>
      </x:c>
      <x:c r="D87" s="12" t="str">
        <x:v>QA-03, GOV-01</x:v>
      </x:c>
      <x:c r="E87" s="12" t="n">
        <x:f>'开发任务'!G81</x:f>
        <x:v>6</x:v>
      </x:c>
      <x:c r="F87" s="12" t="n">
        <x:f>'开发任务'!H81</x:f>
        <x:v>10</x:v>
      </x:c>
      <x:c r="G87" s="12" t="n">
        <x:f>E87 + MAX(G86,G5)</x:f>
        <x:v>172</x:v>
      </x:c>
      <x:c r="H87" s="12" t="n">
        <x:f>F87 + MAX(H86,H5)</x:f>
        <x:v>298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e0c3f7370884c35"/>
  </x:tableParts>
</x:worksheet>
</file>